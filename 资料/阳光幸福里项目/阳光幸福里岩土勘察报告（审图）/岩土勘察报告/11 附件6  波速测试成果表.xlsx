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561" activeTab="3"/>
  </bookViews>
  <sheets>
    <sheet name="1" sheetId="19" r:id="rId1"/>
    <sheet name="2" sheetId="40" r:id="rId2"/>
    <sheet name="3" sheetId="35" r:id="rId3"/>
    <sheet name="4" sheetId="41" r:id="rId4"/>
    <sheet name="土层剪切波速" sheetId="4" r:id="rId5"/>
  </sheets>
  <definedNames>
    <definedName name="_xlnm.Print_Area" localSheetId="0">'1'!$A$1:$M$29</definedName>
    <definedName name="_xlnm.Print_Area" localSheetId="2">'3'!$A$1:$M$29</definedName>
    <definedName name="_xlnm.Print_Area" localSheetId="1">'2'!$A$1:$M$29</definedName>
    <definedName name="_xlnm.Print_Area" localSheetId="3">'4'!$A$1:$M$29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<sst xmlns="http://schemas.openxmlformats.org/spreadsheetml/2006/main" count="113" uniqueCount="33">
  <si>
    <t xml:space="preserve">波速测试成果图  </t>
  </si>
  <si>
    <t>工程名称：阳光幸福里</t>
  </si>
  <si>
    <t>钻孔编号：ZK13</t>
  </si>
  <si>
    <t xml:space="preserve">            第1页、共4页</t>
  </si>
  <si>
    <t>序号</t>
  </si>
  <si>
    <t>地层名称</t>
  </si>
  <si>
    <t>深度
(m)</t>
  </si>
  <si>
    <t>厚度
(m)</t>
  </si>
  <si>
    <t>剪切波速
Vs(m/s)</t>
  </si>
  <si>
    <t>柱状图</t>
  </si>
  <si>
    <t>素填土①</t>
  </si>
  <si>
    <t>黏土②</t>
  </si>
  <si>
    <t>泥灰岩④2</t>
  </si>
  <si>
    <t>项目负责人：               试验：                         校核：                        试验单位：广西昇龙工程勘察设计检测有限公司</t>
  </si>
  <si>
    <t>等效剪切波速</t>
  </si>
  <si>
    <t>钻孔编号：ZK16</t>
  </si>
  <si>
    <t xml:space="preserve">            第2页、共4页</t>
  </si>
  <si>
    <t>钻孔编号：ZK19</t>
  </si>
  <si>
    <t xml:space="preserve">            第3页、共4页</t>
  </si>
  <si>
    <t>泥灰岩④1</t>
  </si>
  <si>
    <t>钻孔编号：ZK21</t>
  </si>
  <si>
    <t xml:space="preserve">            第4页、共4页</t>
  </si>
  <si>
    <t>页岩②</t>
  </si>
  <si>
    <t>耕土①</t>
  </si>
  <si>
    <t>填土②</t>
  </si>
  <si>
    <t>填土②1</t>
  </si>
  <si>
    <t>黏土④</t>
  </si>
  <si>
    <t>淤泥质黏土⑤</t>
  </si>
  <si>
    <t>粉细砂⑥</t>
  </si>
  <si>
    <t xml:space="preserve">卵石⑦ </t>
  </si>
  <si>
    <t>砂岩⑧ 1</t>
  </si>
  <si>
    <t>砂岩⑧2</t>
  </si>
  <si>
    <t>灰岩⑨3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</si>
</sst>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_ "/>
    <numFmt numFmtId="179" formatCode="0.00_);[Red]\(0.00\)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theme="1"/>
      <name val="宋体"/>
      <charset val="134"/>
    </font>
    <font>
      <sz val="11"/>
      <color rgb="FF000000"/>
      <name val="宋体"/>
      <charset val="134"/>
      <scheme val="minor"/>
    </font>
    <font>
      <sz val="18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2" xfId="0" applyFont="1" applyFill="1" applyBorder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77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77" fontId="0" fillId="0" borderId="0" xfId="0" applyNumberFormat="1"/>
    <xf numFmtId="178" fontId="0" fillId="2" borderId="0" xfId="0" applyNumberFormat="1" applyFill="1"/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176" fontId="0" fillId="0" borderId="0" xfId="0" applyNumberFormat="1"/>
    <xf numFmtId="0" fontId="0" fillId="0" borderId="5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4" fillId="0" borderId="6" xfId="0" applyFont="1" applyBorder="1" applyAlignment="1">
      <alignment horizont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179" fontId="0" fillId="0" borderId="0" xfId="0" applyNumberFormat="1" applyFont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0" fillId="2" borderId="0" xfId="0" applyFont="1" applyFill="1" applyAlignment="1">
      <alignment horizontal="right"/>
    </xf>
    <xf numFmtId="178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79412563249"/>
          <c:y val="0.0918982640792426"/>
          <c:w val="0.818168545295938"/>
          <c:h val="0.928906526685523"/>
        </c:manualLayout>
      </c:layout>
      <c:scatterChart>
        <c:scatterStyle val="line"/>
        <c:varyColors val="0"/>
        <c:ser>
          <c:idx val="1"/>
          <c:order val="0"/>
          <c:marker>
            <c:symbol val="none"/>
          </c:marker>
          <c:dLbls>
            <c:delete val="1"/>
          </c:dLbls>
          <c:xVal>
            <c:numRef>
              <c:f>'1'!$F$4:$F$23</c:f>
              <c:numCache>
                <c:formatCode>0_ </c:formatCode>
                <c:ptCount val="20"/>
                <c:pt idx="0">
                  <c:v>100</c:v>
                </c:pt>
                <c:pt idx="1">
                  <c:v>120</c:v>
                </c:pt>
                <c:pt idx="2">
                  <c:v>110</c:v>
                </c:pt>
                <c:pt idx="3">
                  <c:v>124</c:v>
                </c:pt>
                <c:pt idx="4">
                  <c:v>135</c:v>
                </c:pt>
                <c:pt idx="5">
                  <c:v>121</c:v>
                </c:pt>
                <c:pt idx="6">
                  <c:v>98</c:v>
                </c:pt>
                <c:pt idx="7">
                  <c:v>321</c:v>
                </c:pt>
                <c:pt idx="8">
                  <c:v>325</c:v>
                </c:pt>
                <c:pt idx="9">
                  <c:v>327</c:v>
                </c:pt>
                <c:pt idx="10">
                  <c:v>326</c:v>
                </c:pt>
                <c:pt idx="11">
                  <c:v>876</c:v>
                </c:pt>
                <c:pt idx="12">
                  <c:v>886</c:v>
                </c:pt>
                <c:pt idx="13">
                  <c:v>842</c:v>
                </c:pt>
                <c:pt idx="14">
                  <c:v>859</c:v>
                </c:pt>
                <c:pt idx="15" c:formatCode="General">
                  <c:v>874</c:v>
                </c:pt>
                <c:pt idx="16" c:formatCode="General">
                  <c:v>888</c:v>
                </c:pt>
                <c:pt idx="17" c:formatCode="General">
                  <c:v>841</c:v>
                </c:pt>
                <c:pt idx="18" c:formatCode="General">
                  <c:v>848</c:v>
                </c:pt>
              </c:numCache>
            </c:numRef>
          </c:xVal>
          <c:yVal>
            <c:numRef>
              <c:f>'1'!$D$4:$D$23</c:f>
              <c:numCache>
                <c:formatCode>0.00_);[Red]\(0.00\)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yVal>
          <c:smooth val="0"/>
        </c:ser>
        <c:ser>
          <c:idx val="0"/>
          <c:order val="1"/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minus"/>
            <c:errValType val="cust"/>
            <c:noEndCap val="1"/>
            <c:plus>
              <c:numRef>
                <c:f>'1'!$I$4:$I$23</c:f>
                <c:numCache>
                  <c:formatCode>General</c:formatCode>
                  <c:ptCount val="20"/>
                  <c:pt idx="0">
                    <c:v>20</c:v>
                  </c:pt>
                  <c:pt idx="1">
                    <c:v>-10</c:v>
                  </c:pt>
                  <c:pt idx="2">
                    <c:v>14</c:v>
                  </c:pt>
                  <c:pt idx="3">
                    <c:v>11</c:v>
                  </c:pt>
                  <c:pt idx="4">
                    <c:v>-14</c:v>
                  </c:pt>
                  <c:pt idx="5">
                    <c:v>-23</c:v>
                  </c:pt>
                  <c:pt idx="6">
                    <c:v>223</c:v>
                  </c:pt>
                  <c:pt idx="7">
                    <c:v>4</c:v>
                  </c:pt>
                  <c:pt idx="8">
                    <c:v>2</c:v>
                  </c:pt>
                  <c:pt idx="9">
                    <c:v>-1</c:v>
                  </c:pt>
                  <c:pt idx="10">
                    <c:v>550</c:v>
                  </c:pt>
                  <c:pt idx="11">
                    <c:v>10</c:v>
                  </c:pt>
                  <c:pt idx="12">
                    <c:v>-44</c:v>
                  </c:pt>
                  <c:pt idx="13">
                    <c:v>17</c:v>
                  </c:pt>
                  <c:pt idx="14">
                    <c:v>15</c:v>
                  </c:pt>
                  <c:pt idx="15">
                    <c:v>14</c:v>
                  </c:pt>
                  <c:pt idx="16">
                    <c:v>-47</c:v>
                  </c:pt>
                  <c:pt idx="17">
                    <c:v>7</c:v>
                  </c:pt>
                  <c:pt idx="18">
                    <c:v>-848</c:v>
                  </c:pt>
                </c:numCache>
              </c:numRef>
            </c:plus>
            <c:minus>
              <c:numRef>
                <c:f>'1'!$H$4:$H$23</c:f>
                <c:numCache>
                  <c:formatCode>General</c:formatCode>
                  <c:ptCount val="2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1</c:v>
                  </c:pt>
                  <c:pt idx="19">
                    <c:v>-19</c:v>
                  </c:pt>
                </c:numCache>
              </c:numRef>
            </c:minus>
          </c:errBars>
          <c:errBars>
            <c:errDir val="x"/>
            <c:errBarType val="plus"/>
            <c:errValType val="cust"/>
            <c:noEndCap val="1"/>
            <c:plus>
              <c:numRef>
                <c:f>'1'!$I$4:$I$23</c:f>
                <c:numCache>
                  <c:formatCode>General</c:formatCode>
                  <c:ptCount val="20"/>
                  <c:pt idx="0">
                    <c:v>20</c:v>
                  </c:pt>
                  <c:pt idx="1">
                    <c:v>-10</c:v>
                  </c:pt>
                  <c:pt idx="2">
                    <c:v>14</c:v>
                  </c:pt>
                  <c:pt idx="3">
                    <c:v>11</c:v>
                  </c:pt>
                  <c:pt idx="4">
                    <c:v>-14</c:v>
                  </c:pt>
                  <c:pt idx="5">
                    <c:v>-23</c:v>
                  </c:pt>
                  <c:pt idx="6">
                    <c:v>223</c:v>
                  </c:pt>
                  <c:pt idx="7">
                    <c:v>4</c:v>
                  </c:pt>
                  <c:pt idx="8">
                    <c:v>2</c:v>
                  </c:pt>
                  <c:pt idx="9">
                    <c:v>-1</c:v>
                  </c:pt>
                  <c:pt idx="10">
                    <c:v>550</c:v>
                  </c:pt>
                  <c:pt idx="11">
                    <c:v>10</c:v>
                  </c:pt>
                  <c:pt idx="12">
                    <c:v>-44</c:v>
                  </c:pt>
                  <c:pt idx="13">
                    <c:v>17</c:v>
                  </c:pt>
                  <c:pt idx="14">
                    <c:v>15</c:v>
                  </c:pt>
                  <c:pt idx="15">
                    <c:v>14</c:v>
                  </c:pt>
                  <c:pt idx="16">
                    <c:v>-47</c:v>
                  </c:pt>
                  <c:pt idx="17">
                    <c:v>7</c:v>
                  </c:pt>
                  <c:pt idx="18">
                    <c:v>-848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xVal>
            <c:numRef>
              <c:f>'1'!$F$4:$F$23</c:f>
              <c:numCache>
                <c:formatCode>0_ </c:formatCode>
                <c:ptCount val="20"/>
                <c:pt idx="0">
                  <c:v>100</c:v>
                </c:pt>
                <c:pt idx="1">
                  <c:v>120</c:v>
                </c:pt>
                <c:pt idx="2">
                  <c:v>110</c:v>
                </c:pt>
                <c:pt idx="3">
                  <c:v>124</c:v>
                </c:pt>
                <c:pt idx="4">
                  <c:v>135</c:v>
                </c:pt>
                <c:pt idx="5">
                  <c:v>121</c:v>
                </c:pt>
                <c:pt idx="6">
                  <c:v>98</c:v>
                </c:pt>
                <c:pt idx="7">
                  <c:v>321</c:v>
                </c:pt>
                <c:pt idx="8">
                  <c:v>325</c:v>
                </c:pt>
                <c:pt idx="9">
                  <c:v>327</c:v>
                </c:pt>
                <c:pt idx="10">
                  <c:v>326</c:v>
                </c:pt>
                <c:pt idx="11">
                  <c:v>876</c:v>
                </c:pt>
                <c:pt idx="12">
                  <c:v>886</c:v>
                </c:pt>
                <c:pt idx="13">
                  <c:v>842</c:v>
                </c:pt>
                <c:pt idx="14">
                  <c:v>859</c:v>
                </c:pt>
                <c:pt idx="15" c:formatCode="General">
                  <c:v>874</c:v>
                </c:pt>
                <c:pt idx="16" c:formatCode="General">
                  <c:v>888</c:v>
                </c:pt>
                <c:pt idx="17" c:formatCode="General">
                  <c:v>841</c:v>
                </c:pt>
                <c:pt idx="18" c:formatCode="General">
                  <c:v>848</c:v>
                </c:pt>
              </c:numCache>
            </c:numRef>
          </c:xVal>
          <c:yVal>
            <c:numRef>
              <c:f>'1'!$D$4:$D$23</c:f>
              <c:numCache>
                <c:formatCode>0.00_);[Red]\(0.00\)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82560"/>
        <c:axId val="106884480"/>
      </c:scatterChart>
      <c:valAx>
        <c:axId val="106882560"/>
        <c:scaling>
          <c:orientation val="minMax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1" i="0" baseline="0">
                    <a:effectLst/>
                  </a:rPr>
                  <a:t>速度</a:t>
                </a:r>
                <a:r>
                  <a:rPr lang="en-US" altLang="zh-CN" sz="1000" b="1" i="0" baseline="0">
                    <a:effectLst/>
                  </a:rPr>
                  <a:t>Vs</a:t>
                </a:r>
                <a:r>
                  <a:rPr lang="zh-CN" altLang="zh-CN" sz="1000" b="1" i="0" baseline="0">
                    <a:effectLst/>
                  </a:rPr>
                  <a:t>（</a:t>
                </a:r>
                <a:r>
                  <a:rPr lang="en-US" altLang="zh-CN" sz="1000" b="1" i="0" baseline="0">
                    <a:effectLst/>
                  </a:rPr>
                  <a:t>m/s）</a:t>
                </a:r>
                <a:endParaRPr lang="zh-CN" altLang="zh-CN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804745493107105"/>
              <c:y val="0.0730234996390312"/>
            </c:manualLayout>
          </c:layout>
          <c:overlay val="0"/>
        </c:title>
        <c:numFmt formatCode="0_ " sourceLinked="1"/>
        <c:majorTickMark val="out"/>
        <c:minorTickMark val="none"/>
        <c:tickLblPos val="nextTo"/>
        <c:spPr>
          <a:ln w="9525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6884480"/>
        <c:crosses val="autoZero"/>
        <c:crossBetween val="midCat"/>
      </c:valAx>
      <c:valAx>
        <c:axId val="106884480"/>
        <c:scaling>
          <c:orientation val="maxMin"/>
          <c:max val="20"/>
          <c:min val="0"/>
        </c:scaling>
        <c:delete val="0"/>
        <c:axPos val="l"/>
        <c:title>
          <c:tx>
            <c:rich>
              <a:bodyPr rot="0" spcFirstLastPara="0" vertOverflow="ellipsis" vert="wordArtVertRtl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900" b="1" i="0" baseline="0">
                    <a:effectLst/>
                  </a:rPr>
                  <a:t>深度</a:t>
                </a:r>
                <a:r>
                  <a:rPr lang="en-US" altLang="zh-CN" sz="900" b="1" i="0" baseline="0">
                    <a:effectLst/>
                  </a:rPr>
                  <a:t>m</a:t>
                </a:r>
                <a:endParaRPr lang="zh-CN" altLang="zh-CN" sz="900">
                  <a:effectLst/>
                </a:endParaRPr>
              </a:p>
            </c:rich>
          </c:tx>
          <c:layout>
            <c:manualLayout>
              <c:xMode val="edge"/>
              <c:yMode val="edge"/>
              <c:x val="0.130405882283911"/>
              <c:y val="0.769711921909886"/>
            </c:manualLayout>
          </c:layout>
          <c:overlay val="0"/>
        </c:title>
        <c:numFmt formatCode="0.00_);[Red]\(0.00\)" sourceLinked="1"/>
        <c:majorTickMark val="out"/>
        <c:minorTickMark val="none"/>
        <c:tickLblPos val="nextTo"/>
        <c:spPr>
          <a:ln w="9525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6882560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23fcb671-4962-4475-8ede-00bc322914f5}"/>
      </c:ext>
    </c:extLst>
  </c:chart>
  <c:spPr>
    <a:ln w="952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79412563249"/>
          <c:y val="0.0918982640792426"/>
          <c:w val="0.818168545295938"/>
          <c:h val="0.928906526685523"/>
        </c:manualLayout>
      </c:layout>
      <c:scatterChart>
        <c:scatterStyle val="line"/>
        <c:varyColors val="0"/>
        <c:ser>
          <c:idx val="1"/>
          <c:order val="0"/>
          <c:marker>
            <c:symbol val="none"/>
          </c:marker>
          <c:dLbls>
            <c:delete val="1"/>
          </c:dLbls>
          <c:xVal>
            <c:numRef>
              <c:f>'2'!$F$4:$F$23</c:f>
              <c:numCache>
                <c:formatCode>0_ </c:formatCode>
                <c:ptCount val="20"/>
                <c:pt idx="0">
                  <c:v>323</c:v>
                </c:pt>
                <c:pt idx="1">
                  <c:v>321</c:v>
                </c:pt>
                <c:pt idx="2">
                  <c:v>312</c:v>
                </c:pt>
                <c:pt idx="3">
                  <c:v>321</c:v>
                </c:pt>
                <c:pt idx="4">
                  <c:v>322</c:v>
                </c:pt>
                <c:pt idx="5">
                  <c:v>856</c:v>
                </c:pt>
                <c:pt idx="6">
                  <c:v>841</c:v>
                </c:pt>
                <c:pt idx="7">
                  <c:v>817</c:v>
                </c:pt>
                <c:pt idx="8">
                  <c:v>813</c:v>
                </c:pt>
                <c:pt idx="9">
                  <c:v>825</c:v>
                </c:pt>
                <c:pt idx="10">
                  <c:v>816</c:v>
                </c:pt>
                <c:pt idx="11">
                  <c:v>854</c:v>
                </c:pt>
                <c:pt idx="12">
                  <c:v>851</c:v>
                </c:pt>
              </c:numCache>
            </c:numRef>
          </c:xVal>
          <c:yVal>
            <c:numRef>
              <c:f>'2'!$D$4:$D$23</c:f>
              <c:numCache>
                <c:formatCode>0.00_);[Red]\(0.00\)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yVal>
          <c:smooth val="0"/>
        </c:ser>
        <c:ser>
          <c:idx val="0"/>
          <c:order val="1"/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minus"/>
            <c:errValType val="cust"/>
            <c:noEndCap val="1"/>
            <c:plus>
              <c:numRef>
                <c:f>'2'!$I$4:$I$23</c:f>
                <c:numCache>
                  <c:formatCode>General</c:formatCode>
                  <c:ptCount val="20"/>
                  <c:pt idx="0">
                    <c:v>-2</c:v>
                  </c:pt>
                  <c:pt idx="1">
                    <c:v>-9</c:v>
                  </c:pt>
                  <c:pt idx="2">
                    <c:v>9</c:v>
                  </c:pt>
                  <c:pt idx="3">
                    <c:v>1</c:v>
                  </c:pt>
                  <c:pt idx="4">
                    <c:v>534</c:v>
                  </c:pt>
                  <c:pt idx="5">
                    <c:v>-15</c:v>
                  </c:pt>
                  <c:pt idx="6">
                    <c:v>-24</c:v>
                  </c:pt>
                  <c:pt idx="7">
                    <c:v>-4</c:v>
                  </c:pt>
                  <c:pt idx="8">
                    <c:v>12</c:v>
                  </c:pt>
                  <c:pt idx="9">
                    <c:v>-9</c:v>
                  </c:pt>
                  <c:pt idx="10">
                    <c:v>38</c:v>
                  </c:pt>
                  <c:pt idx="11">
                    <c:v>-3</c:v>
                  </c:pt>
                  <c:pt idx="12">
                    <c:v>-851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plus>
            <c:minus>
              <c:numRef>
                <c:f>'2'!$H$4:$H$23</c:f>
                <c:numCache>
                  <c:formatCode>General</c:formatCode>
                  <c:ptCount val="2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-13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</c:errBars>
          <c:errBars>
            <c:errDir val="x"/>
            <c:errBarType val="plus"/>
            <c:errValType val="cust"/>
            <c:noEndCap val="1"/>
            <c:plus>
              <c:numRef>
                <c:f>'2'!$I$4:$I$23</c:f>
                <c:numCache>
                  <c:formatCode>General</c:formatCode>
                  <c:ptCount val="20"/>
                  <c:pt idx="0">
                    <c:v>-2</c:v>
                  </c:pt>
                  <c:pt idx="1">
                    <c:v>-9</c:v>
                  </c:pt>
                  <c:pt idx="2">
                    <c:v>9</c:v>
                  </c:pt>
                  <c:pt idx="3">
                    <c:v>1</c:v>
                  </c:pt>
                  <c:pt idx="4">
                    <c:v>534</c:v>
                  </c:pt>
                  <c:pt idx="5">
                    <c:v>-15</c:v>
                  </c:pt>
                  <c:pt idx="6">
                    <c:v>-24</c:v>
                  </c:pt>
                  <c:pt idx="7">
                    <c:v>-4</c:v>
                  </c:pt>
                  <c:pt idx="8">
                    <c:v>12</c:v>
                  </c:pt>
                  <c:pt idx="9">
                    <c:v>-9</c:v>
                  </c:pt>
                  <c:pt idx="10">
                    <c:v>38</c:v>
                  </c:pt>
                  <c:pt idx="11">
                    <c:v>-3</c:v>
                  </c:pt>
                  <c:pt idx="12">
                    <c:v>-851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xVal>
            <c:numRef>
              <c:f>'2'!$F$4:$F$23</c:f>
              <c:numCache>
                <c:formatCode>0_ </c:formatCode>
                <c:ptCount val="20"/>
                <c:pt idx="0">
                  <c:v>323</c:v>
                </c:pt>
                <c:pt idx="1">
                  <c:v>321</c:v>
                </c:pt>
                <c:pt idx="2">
                  <c:v>312</c:v>
                </c:pt>
                <c:pt idx="3">
                  <c:v>321</c:v>
                </c:pt>
                <c:pt idx="4">
                  <c:v>322</c:v>
                </c:pt>
                <c:pt idx="5">
                  <c:v>856</c:v>
                </c:pt>
                <c:pt idx="6">
                  <c:v>841</c:v>
                </c:pt>
                <c:pt idx="7">
                  <c:v>817</c:v>
                </c:pt>
                <c:pt idx="8">
                  <c:v>813</c:v>
                </c:pt>
                <c:pt idx="9">
                  <c:v>825</c:v>
                </c:pt>
                <c:pt idx="10">
                  <c:v>816</c:v>
                </c:pt>
                <c:pt idx="11">
                  <c:v>854</c:v>
                </c:pt>
                <c:pt idx="12">
                  <c:v>851</c:v>
                </c:pt>
              </c:numCache>
            </c:numRef>
          </c:xVal>
          <c:yVal>
            <c:numRef>
              <c:f>'2'!$D$4:$D$23</c:f>
              <c:numCache>
                <c:formatCode>0.00_);[Red]\(0.00\)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82560"/>
        <c:axId val="106884480"/>
      </c:scatterChart>
      <c:valAx>
        <c:axId val="106882560"/>
        <c:scaling>
          <c:orientation val="minMax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1" i="0" baseline="0">
                    <a:effectLst/>
                  </a:rPr>
                  <a:t>速度</a:t>
                </a:r>
                <a:r>
                  <a:rPr lang="en-US" altLang="zh-CN" sz="1000" b="1" i="0" baseline="0">
                    <a:effectLst/>
                  </a:rPr>
                  <a:t>Vs</a:t>
                </a:r>
                <a:r>
                  <a:rPr lang="zh-CN" altLang="zh-CN" sz="1000" b="1" i="0" baseline="0">
                    <a:effectLst/>
                  </a:rPr>
                  <a:t>（</a:t>
                </a:r>
                <a:r>
                  <a:rPr lang="en-US" altLang="zh-CN" sz="1000" b="1" i="0" baseline="0">
                    <a:effectLst/>
                  </a:rPr>
                  <a:t>m/s）</a:t>
                </a:r>
                <a:endParaRPr lang="zh-CN" altLang="zh-CN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804745493107105"/>
              <c:y val="0.0730234996390312"/>
            </c:manualLayout>
          </c:layout>
          <c:overlay val="0"/>
        </c:title>
        <c:numFmt formatCode="0_ " sourceLinked="1"/>
        <c:majorTickMark val="out"/>
        <c:minorTickMark val="none"/>
        <c:tickLblPos val="nextTo"/>
        <c:spPr>
          <a:ln w="9525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6884480"/>
        <c:crosses val="autoZero"/>
        <c:crossBetween val="midCat"/>
      </c:valAx>
      <c:valAx>
        <c:axId val="106884480"/>
        <c:scaling>
          <c:orientation val="maxMin"/>
          <c:max val="20"/>
          <c:min val="0"/>
        </c:scaling>
        <c:delete val="0"/>
        <c:axPos val="l"/>
        <c:title>
          <c:tx>
            <c:rich>
              <a:bodyPr rot="0" spcFirstLastPara="0" vertOverflow="ellipsis" vert="wordArtVertRtl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900" b="1" i="0" baseline="0">
                    <a:effectLst/>
                  </a:rPr>
                  <a:t>深度</a:t>
                </a:r>
                <a:r>
                  <a:rPr lang="en-US" altLang="zh-CN" sz="900" b="1" i="0" baseline="0">
                    <a:effectLst/>
                  </a:rPr>
                  <a:t>m</a:t>
                </a:r>
                <a:endParaRPr lang="zh-CN" altLang="zh-CN" sz="900">
                  <a:effectLst/>
                </a:endParaRPr>
              </a:p>
            </c:rich>
          </c:tx>
          <c:layout>
            <c:manualLayout>
              <c:xMode val="edge"/>
              <c:yMode val="edge"/>
              <c:x val="0.130405882283911"/>
              <c:y val="0.769711921909886"/>
            </c:manualLayout>
          </c:layout>
          <c:overlay val="0"/>
        </c:title>
        <c:numFmt formatCode="0.00_);[Red]\(0.00\)" sourceLinked="1"/>
        <c:majorTickMark val="out"/>
        <c:minorTickMark val="none"/>
        <c:tickLblPos val="nextTo"/>
        <c:spPr>
          <a:ln w="9525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6882560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23fcb671-4962-4475-8ede-00bc322914f5}"/>
      </c:ext>
    </c:extLst>
  </c:chart>
  <c:spPr>
    <a:ln w="952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79412563249"/>
          <c:y val="0.0918982640792426"/>
          <c:w val="0.818168545295938"/>
          <c:h val="0.928906526685523"/>
        </c:manualLayout>
      </c:layout>
      <c:scatterChart>
        <c:scatterStyle val="line"/>
        <c:varyColors val="0"/>
        <c:ser>
          <c:idx val="1"/>
          <c:order val="0"/>
          <c:marker>
            <c:symbol val="none"/>
          </c:marker>
          <c:dLbls>
            <c:delete val="1"/>
          </c:dLbls>
          <c:xVal>
            <c:numRef>
              <c:f>'3'!$F$4:$F$23</c:f>
              <c:numCache>
                <c:formatCode>0_ </c:formatCode>
                <c:ptCount val="20"/>
                <c:pt idx="0">
                  <c:v>102</c:v>
                </c:pt>
                <c:pt idx="1">
                  <c:v>315</c:v>
                </c:pt>
                <c:pt idx="2">
                  <c:v>323</c:v>
                </c:pt>
                <c:pt idx="3">
                  <c:v>576</c:v>
                </c:pt>
                <c:pt idx="4">
                  <c:v>571</c:v>
                </c:pt>
                <c:pt idx="5">
                  <c:v>843</c:v>
                </c:pt>
                <c:pt idx="6">
                  <c:v>842</c:v>
                </c:pt>
                <c:pt idx="7">
                  <c:v>815</c:v>
                </c:pt>
                <c:pt idx="8">
                  <c:v>834</c:v>
                </c:pt>
                <c:pt idx="9">
                  <c:v>834</c:v>
                </c:pt>
                <c:pt idx="10">
                  <c:v>824</c:v>
                </c:pt>
                <c:pt idx="11">
                  <c:v>814</c:v>
                </c:pt>
                <c:pt idx="12">
                  <c:v>869</c:v>
                </c:pt>
              </c:numCache>
            </c:numRef>
          </c:xVal>
          <c:yVal>
            <c:numRef>
              <c:f>'3'!$D$4:$D$23</c:f>
              <c:numCache>
                <c:formatCode>0.00_);[Red]\(0.00\)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yVal>
          <c:smooth val="0"/>
        </c:ser>
        <c:ser>
          <c:idx val="0"/>
          <c:order val="1"/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minus"/>
            <c:errValType val="cust"/>
            <c:noEndCap val="1"/>
            <c:plus>
              <c:numRef>
                <c:f>'3'!$I$4:$I$23</c:f>
                <c:numCache>
                  <c:formatCode>General</c:formatCode>
                  <c:ptCount val="20"/>
                  <c:pt idx="0">
                    <c:v>213</c:v>
                  </c:pt>
                  <c:pt idx="1">
                    <c:v>8</c:v>
                  </c:pt>
                  <c:pt idx="2">
                    <c:v>253</c:v>
                  </c:pt>
                  <c:pt idx="3">
                    <c:v>-5</c:v>
                  </c:pt>
                  <c:pt idx="4">
                    <c:v>272</c:v>
                  </c:pt>
                  <c:pt idx="5">
                    <c:v>-1</c:v>
                  </c:pt>
                  <c:pt idx="6">
                    <c:v>-27</c:v>
                  </c:pt>
                  <c:pt idx="7">
                    <c:v>19</c:v>
                  </c:pt>
                  <c:pt idx="8">
                    <c:v>0</c:v>
                  </c:pt>
                  <c:pt idx="9">
                    <c:v>-10</c:v>
                  </c:pt>
                  <c:pt idx="10">
                    <c:v>-10</c:v>
                  </c:pt>
                  <c:pt idx="11">
                    <c:v>55</c:v>
                  </c:pt>
                  <c:pt idx="12">
                    <c:v>-869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plus>
            <c:minus>
              <c:numRef>
                <c:f>'3'!$H$4:$H$23</c:f>
                <c:numCache>
                  <c:formatCode>General</c:formatCode>
                  <c:ptCount val="2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-13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</c:errBars>
          <c:errBars>
            <c:errDir val="x"/>
            <c:errBarType val="plus"/>
            <c:errValType val="cust"/>
            <c:noEndCap val="1"/>
            <c:plus>
              <c:numRef>
                <c:f>'3'!$I$4:$I$23</c:f>
                <c:numCache>
                  <c:formatCode>General</c:formatCode>
                  <c:ptCount val="20"/>
                  <c:pt idx="0">
                    <c:v>213</c:v>
                  </c:pt>
                  <c:pt idx="1">
                    <c:v>8</c:v>
                  </c:pt>
                  <c:pt idx="2">
                    <c:v>253</c:v>
                  </c:pt>
                  <c:pt idx="3">
                    <c:v>-5</c:v>
                  </c:pt>
                  <c:pt idx="4">
                    <c:v>272</c:v>
                  </c:pt>
                  <c:pt idx="5">
                    <c:v>-1</c:v>
                  </c:pt>
                  <c:pt idx="6">
                    <c:v>-27</c:v>
                  </c:pt>
                  <c:pt idx="7">
                    <c:v>19</c:v>
                  </c:pt>
                  <c:pt idx="8">
                    <c:v>0</c:v>
                  </c:pt>
                  <c:pt idx="9">
                    <c:v>-10</c:v>
                  </c:pt>
                  <c:pt idx="10">
                    <c:v>-10</c:v>
                  </c:pt>
                  <c:pt idx="11">
                    <c:v>55</c:v>
                  </c:pt>
                  <c:pt idx="12">
                    <c:v>-869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xVal>
            <c:numRef>
              <c:f>'3'!$F$4:$F$23</c:f>
              <c:numCache>
                <c:formatCode>0_ </c:formatCode>
                <c:ptCount val="20"/>
                <c:pt idx="0">
                  <c:v>102</c:v>
                </c:pt>
                <c:pt idx="1">
                  <c:v>315</c:v>
                </c:pt>
                <c:pt idx="2">
                  <c:v>323</c:v>
                </c:pt>
                <c:pt idx="3">
                  <c:v>576</c:v>
                </c:pt>
                <c:pt idx="4">
                  <c:v>571</c:v>
                </c:pt>
                <c:pt idx="5">
                  <c:v>843</c:v>
                </c:pt>
                <c:pt idx="6">
                  <c:v>842</c:v>
                </c:pt>
                <c:pt idx="7">
                  <c:v>815</c:v>
                </c:pt>
                <c:pt idx="8">
                  <c:v>834</c:v>
                </c:pt>
                <c:pt idx="9">
                  <c:v>834</c:v>
                </c:pt>
                <c:pt idx="10">
                  <c:v>824</c:v>
                </c:pt>
                <c:pt idx="11">
                  <c:v>814</c:v>
                </c:pt>
                <c:pt idx="12">
                  <c:v>869</c:v>
                </c:pt>
              </c:numCache>
            </c:numRef>
          </c:xVal>
          <c:yVal>
            <c:numRef>
              <c:f>'3'!$D$4:$D$23</c:f>
              <c:numCache>
                <c:formatCode>0.00_);[Red]\(0.00\)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82560"/>
        <c:axId val="106884480"/>
      </c:scatterChart>
      <c:valAx>
        <c:axId val="106882560"/>
        <c:scaling>
          <c:orientation val="minMax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1" i="0" baseline="0">
                    <a:effectLst/>
                  </a:rPr>
                  <a:t>速度</a:t>
                </a:r>
                <a:r>
                  <a:rPr lang="en-US" altLang="zh-CN" sz="1000" b="1" i="0" baseline="0">
                    <a:effectLst/>
                  </a:rPr>
                  <a:t>Vs</a:t>
                </a:r>
                <a:r>
                  <a:rPr lang="zh-CN" altLang="zh-CN" sz="1000" b="1" i="0" baseline="0">
                    <a:effectLst/>
                  </a:rPr>
                  <a:t>（</a:t>
                </a:r>
                <a:r>
                  <a:rPr lang="en-US" altLang="zh-CN" sz="1000" b="1" i="0" baseline="0">
                    <a:effectLst/>
                  </a:rPr>
                  <a:t>m/s）</a:t>
                </a:r>
                <a:endParaRPr lang="zh-CN" altLang="zh-CN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804745493107105"/>
              <c:y val="0.0730234996390312"/>
            </c:manualLayout>
          </c:layout>
          <c:overlay val="0"/>
        </c:title>
        <c:numFmt formatCode="0_ " sourceLinked="1"/>
        <c:majorTickMark val="out"/>
        <c:minorTickMark val="none"/>
        <c:tickLblPos val="nextTo"/>
        <c:spPr>
          <a:ln w="9525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6884480"/>
        <c:crosses val="autoZero"/>
        <c:crossBetween val="midCat"/>
      </c:valAx>
      <c:valAx>
        <c:axId val="106884480"/>
        <c:scaling>
          <c:orientation val="maxMin"/>
          <c:max val="20"/>
          <c:min val="0"/>
        </c:scaling>
        <c:delete val="0"/>
        <c:axPos val="l"/>
        <c:title>
          <c:tx>
            <c:rich>
              <a:bodyPr rot="0" spcFirstLastPara="0" vertOverflow="ellipsis" vert="wordArtVertRtl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900" b="1" i="0" baseline="0">
                    <a:effectLst/>
                  </a:rPr>
                  <a:t>深度</a:t>
                </a:r>
                <a:r>
                  <a:rPr lang="en-US" altLang="zh-CN" sz="900" b="1" i="0" baseline="0">
                    <a:effectLst/>
                  </a:rPr>
                  <a:t>m</a:t>
                </a:r>
                <a:endParaRPr lang="zh-CN" altLang="zh-CN" sz="900">
                  <a:effectLst/>
                </a:endParaRPr>
              </a:p>
            </c:rich>
          </c:tx>
          <c:layout>
            <c:manualLayout>
              <c:xMode val="edge"/>
              <c:yMode val="edge"/>
              <c:x val="0.130405882283911"/>
              <c:y val="0.769711921909886"/>
            </c:manualLayout>
          </c:layout>
          <c:overlay val="0"/>
        </c:title>
        <c:numFmt formatCode="0.00_);[Red]\(0.00\)" sourceLinked="1"/>
        <c:majorTickMark val="out"/>
        <c:minorTickMark val="none"/>
        <c:tickLblPos val="nextTo"/>
        <c:spPr>
          <a:ln w="9525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6882560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23fcb671-4962-4475-8ede-00bc322914f5}"/>
      </c:ext>
    </c:extLst>
  </c:chart>
  <c:spPr>
    <a:ln w="952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79412563249"/>
          <c:y val="0.0918982640792426"/>
          <c:w val="0.818168545295938"/>
          <c:h val="0.928906526685523"/>
        </c:manualLayout>
      </c:layout>
      <c:scatterChart>
        <c:scatterStyle val="line"/>
        <c:varyColors val="0"/>
        <c:ser>
          <c:idx val="1"/>
          <c:order val="0"/>
          <c:marker>
            <c:symbol val="none"/>
          </c:marker>
          <c:dLbls>
            <c:delete val="1"/>
          </c:dLbls>
          <c:xVal>
            <c:numRef>
              <c:f>'4'!$F$4:$F$23</c:f>
              <c:numCache>
                <c:formatCode>0_ </c:formatCode>
                <c:ptCount val="20"/>
                <c:pt idx="0">
                  <c:v>309</c:v>
                </c:pt>
                <c:pt idx="1">
                  <c:v>517</c:v>
                </c:pt>
                <c:pt idx="2">
                  <c:v>841</c:v>
                </c:pt>
                <c:pt idx="3">
                  <c:v>852</c:v>
                </c:pt>
                <c:pt idx="4">
                  <c:v>843</c:v>
                </c:pt>
                <c:pt idx="5">
                  <c:v>813</c:v>
                </c:pt>
                <c:pt idx="6">
                  <c:v>858</c:v>
                </c:pt>
                <c:pt idx="7">
                  <c:v>856</c:v>
                </c:pt>
                <c:pt idx="8">
                  <c:v>855</c:v>
                </c:pt>
                <c:pt idx="9">
                  <c:v>845</c:v>
                </c:pt>
                <c:pt idx="10">
                  <c:v>863</c:v>
                </c:pt>
                <c:pt idx="11">
                  <c:v>854</c:v>
                </c:pt>
                <c:pt idx="12">
                  <c:v>851</c:v>
                </c:pt>
              </c:numCache>
            </c:numRef>
          </c:xVal>
          <c:yVal>
            <c:numRef>
              <c:f>'4'!$D$4:$D$23</c:f>
              <c:numCache>
                <c:formatCode>0.00_);[Red]\(0.00\)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yVal>
          <c:smooth val="0"/>
        </c:ser>
        <c:ser>
          <c:idx val="0"/>
          <c:order val="1"/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minus"/>
            <c:errValType val="cust"/>
            <c:noEndCap val="1"/>
            <c:plus>
              <c:numRef>
                <c:f>'4'!$I$4:$I$23</c:f>
                <c:numCache>
                  <c:formatCode>General</c:formatCode>
                  <c:ptCount val="20"/>
                  <c:pt idx="0">
                    <c:v>208</c:v>
                  </c:pt>
                  <c:pt idx="1">
                    <c:v>324</c:v>
                  </c:pt>
                  <c:pt idx="2">
                    <c:v>11</c:v>
                  </c:pt>
                  <c:pt idx="3">
                    <c:v>-9</c:v>
                  </c:pt>
                  <c:pt idx="4">
                    <c:v>-30</c:v>
                  </c:pt>
                  <c:pt idx="5">
                    <c:v>45</c:v>
                  </c:pt>
                  <c:pt idx="6">
                    <c:v>-2</c:v>
                  </c:pt>
                  <c:pt idx="7">
                    <c:v>-1</c:v>
                  </c:pt>
                  <c:pt idx="8">
                    <c:v>-10</c:v>
                  </c:pt>
                  <c:pt idx="9">
                    <c:v>18</c:v>
                  </c:pt>
                  <c:pt idx="10">
                    <c:v>-9</c:v>
                  </c:pt>
                  <c:pt idx="11">
                    <c:v>-3</c:v>
                  </c:pt>
                  <c:pt idx="12">
                    <c:v>-851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plus>
            <c:minus>
              <c:numRef>
                <c:f>'4'!$H$4:$H$23</c:f>
                <c:numCache>
                  <c:formatCode>General</c:formatCode>
                  <c:ptCount val="2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-13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</c:errBars>
          <c:errBars>
            <c:errDir val="x"/>
            <c:errBarType val="plus"/>
            <c:errValType val="cust"/>
            <c:noEndCap val="1"/>
            <c:plus>
              <c:numRef>
                <c:f>'4'!$I$4:$I$23</c:f>
                <c:numCache>
                  <c:formatCode>General</c:formatCode>
                  <c:ptCount val="20"/>
                  <c:pt idx="0">
                    <c:v>208</c:v>
                  </c:pt>
                  <c:pt idx="1">
                    <c:v>324</c:v>
                  </c:pt>
                  <c:pt idx="2">
                    <c:v>11</c:v>
                  </c:pt>
                  <c:pt idx="3">
                    <c:v>-9</c:v>
                  </c:pt>
                  <c:pt idx="4">
                    <c:v>-30</c:v>
                  </c:pt>
                  <c:pt idx="5">
                    <c:v>45</c:v>
                  </c:pt>
                  <c:pt idx="6">
                    <c:v>-2</c:v>
                  </c:pt>
                  <c:pt idx="7">
                    <c:v>-1</c:v>
                  </c:pt>
                  <c:pt idx="8">
                    <c:v>-10</c:v>
                  </c:pt>
                  <c:pt idx="9">
                    <c:v>18</c:v>
                  </c:pt>
                  <c:pt idx="10">
                    <c:v>-9</c:v>
                  </c:pt>
                  <c:pt idx="11">
                    <c:v>-3</c:v>
                  </c:pt>
                  <c:pt idx="12">
                    <c:v>-851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xVal>
            <c:numRef>
              <c:f>'4'!$F$4:$F$23</c:f>
              <c:numCache>
                <c:formatCode>0_ </c:formatCode>
                <c:ptCount val="20"/>
                <c:pt idx="0">
                  <c:v>309</c:v>
                </c:pt>
                <c:pt idx="1">
                  <c:v>517</c:v>
                </c:pt>
                <c:pt idx="2">
                  <c:v>841</c:v>
                </c:pt>
                <c:pt idx="3">
                  <c:v>852</c:v>
                </c:pt>
                <c:pt idx="4">
                  <c:v>843</c:v>
                </c:pt>
                <c:pt idx="5">
                  <c:v>813</c:v>
                </c:pt>
                <c:pt idx="6">
                  <c:v>858</c:v>
                </c:pt>
                <c:pt idx="7">
                  <c:v>856</c:v>
                </c:pt>
                <c:pt idx="8">
                  <c:v>855</c:v>
                </c:pt>
                <c:pt idx="9">
                  <c:v>845</c:v>
                </c:pt>
                <c:pt idx="10">
                  <c:v>863</c:v>
                </c:pt>
                <c:pt idx="11">
                  <c:v>854</c:v>
                </c:pt>
                <c:pt idx="12">
                  <c:v>851</c:v>
                </c:pt>
              </c:numCache>
            </c:numRef>
          </c:xVal>
          <c:yVal>
            <c:numRef>
              <c:f>'4'!$D$4:$D$23</c:f>
              <c:numCache>
                <c:formatCode>0.00_);[Red]\(0.00\)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82560"/>
        <c:axId val="106884480"/>
      </c:scatterChart>
      <c:valAx>
        <c:axId val="106882560"/>
        <c:scaling>
          <c:orientation val="minMax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1" i="0" baseline="0">
                    <a:effectLst/>
                  </a:rPr>
                  <a:t>速度</a:t>
                </a:r>
                <a:r>
                  <a:rPr lang="en-US" altLang="zh-CN" sz="1000" b="1" i="0" baseline="0">
                    <a:effectLst/>
                  </a:rPr>
                  <a:t>Vs</a:t>
                </a:r>
                <a:r>
                  <a:rPr lang="zh-CN" altLang="zh-CN" sz="1000" b="1" i="0" baseline="0">
                    <a:effectLst/>
                  </a:rPr>
                  <a:t>（</a:t>
                </a:r>
                <a:r>
                  <a:rPr lang="en-US" altLang="zh-CN" sz="1000" b="1" i="0" baseline="0">
                    <a:effectLst/>
                  </a:rPr>
                  <a:t>m/s）</a:t>
                </a:r>
                <a:endParaRPr lang="zh-CN" altLang="zh-CN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804745493107105"/>
              <c:y val="0.0730234996390312"/>
            </c:manualLayout>
          </c:layout>
          <c:overlay val="0"/>
        </c:title>
        <c:numFmt formatCode="0_ " sourceLinked="1"/>
        <c:majorTickMark val="out"/>
        <c:minorTickMark val="none"/>
        <c:tickLblPos val="nextTo"/>
        <c:spPr>
          <a:ln w="9525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6884480"/>
        <c:crosses val="autoZero"/>
        <c:crossBetween val="midCat"/>
      </c:valAx>
      <c:valAx>
        <c:axId val="106884480"/>
        <c:scaling>
          <c:orientation val="maxMin"/>
          <c:max val="20"/>
          <c:min val="0"/>
        </c:scaling>
        <c:delete val="0"/>
        <c:axPos val="l"/>
        <c:title>
          <c:tx>
            <c:rich>
              <a:bodyPr rot="0" spcFirstLastPara="0" vertOverflow="ellipsis" vert="wordArtVertRtl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900" b="1" i="0" baseline="0">
                    <a:effectLst/>
                  </a:rPr>
                  <a:t>深度</a:t>
                </a:r>
                <a:r>
                  <a:rPr lang="en-US" altLang="zh-CN" sz="900" b="1" i="0" baseline="0">
                    <a:effectLst/>
                  </a:rPr>
                  <a:t>m</a:t>
                </a:r>
                <a:endParaRPr lang="zh-CN" altLang="zh-CN" sz="900">
                  <a:effectLst/>
                </a:endParaRPr>
              </a:p>
            </c:rich>
          </c:tx>
          <c:layout>
            <c:manualLayout>
              <c:xMode val="edge"/>
              <c:yMode val="edge"/>
              <c:x val="0.130405882283911"/>
              <c:y val="0.769711921909886"/>
            </c:manualLayout>
          </c:layout>
          <c:overlay val="0"/>
        </c:title>
        <c:numFmt formatCode="0.00_);[Red]\(0.00\)" sourceLinked="1"/>
        <c:majorTickMark val="out"/>
        <c:minorTickMark val="none"/>
        <c:tickLblPos val="nextTo"/>
        <c:spPr>
          <a:ln w="9525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6882560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23fcb671-4962-4475-8ede-00bc322914f5}"/>
      </c:ext>
    </c:extLst>
  </c:chart>
  <c:spPr>
    <a:ln w="952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85726</xdr:colOff>
      <xdr:row>2</xdr:row>
      <xdr:rowOff>88446</xdr:rowOff>
    </xdr:from>
    <xdr:to>
      <xdr:col>12</xdr:col>
      <xdr:colOff>809625</xdr:colOff>
      <xdr:row>23</xdr:row>
      <xdr:rowOff>76200</xdr:rowOff>
    </xdr:to>
    <xdr:graphicFrame>
      <xdr:nvGraphicFramePr>
        <xdr:cNvPr id="2" name="图表 1"/>
        <xdr:cNvGraphicFramePr/>
      </xdr:nvGraphicFramePr>
      <xdr:xfrm>
        <a:off x="5267325" y="766445"/>
        <a:ext cx="4787900" cy="4331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547370</xdr:colOff>
      <xdr:row>27</xdr:row>
      <xdr:rowOff>76200</xdr:rowOff>
    </xdr:from>
    <xdr:to>
      <xdr:col>7</xdr:col>
      <xdr:colOff>664210</xdr:colOff>
      <xdr:row>28</xdr:row>
      <xdr:rowOff>156634</xdr:rowOff>
    </xdr:to>
    <xdr:pic>
      <xdr:nvPicPr>
        <xdr:cNvPr id="5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92370" y="5783580"/>
          <a:ext cx="85344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520700</xdr:colOff>
      <xdr:row>27</xdr:row>
      <xdr:rowOff>36195</xdr:rowOff>
    </xdr:from>
    <xdr:to>
      <xdr:col>4</xdr:col>
      <xdr:colOff>618067</xdr:colOff>
      <xdr:row>28</xdr:row>
      <xdr:rowOff>169969</xdr:rowOff>
    </xdr:to>
    <xdr:pic>
      <xdr:nvPicPr>
        <xdr:cNvPr id="6" name="图片 1" descr="MN`78HS84W)([3I$II4P$9C"/>
        <xdr:cNvPicPr>
          <a:picLocks noChangeAspect="1" noChangeArrowheads="1"/>
        </xdr:cNvPicPr>
      </xdr:nvPicPr>
      <xdr:blipFill>
        <a:blip r:embed="rId3">
          <a:lum bright="-24000" contrast="6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55900" y="5743575"/>
          <a:ext cx="83375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116205</xdr:colOff>
      <xdr:row>27</xdr:row>
      <xdr:rowOff>69215</xdr:rowOff>
    </xdr:from>
    <xdr:to>
      <xdr:col>2</xdr:col>
      <xdr:colOff>638175</xdr:colOff>
      <xdr:row>29</xdr:row>
      <xdr:rowOff>44450</xdr:rowOff>
    </xdr:to>
    <xdr:pic>
      <xdr:nvPicPr>
        <xdr:cNvPr id="3" name="图片 5" descr="C:\Users\Administrator\AppData\Roaming\Tencent\Users\542225521\QQ\WinTemp\RichOle\NWM@(S[(5O_0B3(7S8CDK{7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57605" y="5776595"/>
          <a:ext cx="521970" cy="318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85726</xdr:colOff>
      <xdr:row>2</xdr:row>
      <xdr:rowOff>88446</xdr:rowOff>
    </xdr:from>
    <xdr:to>
      <xdr:col>12</xdr:col>
      <xdr:colOff>809625</xdr:colOff>
      <xdr:row>23</xdr:row>
      <xdr:rowOff>76200</xdr:rowOff>
    </xdr:to>
    <xdr:graphicFrame>
      <xdr:nvGraphicFramePr>
        <xdr:cNvPr id="2" name="图表 1"/>
        <xdr:cNvGraphicFramePr/>
      </xdr:nvGraphicFramePr>
      <xdr:xfrm>
        <a:off x="5267325" y="766445"/>
        <a:ext cx="4787900" cy="4331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547370</xdr:colOff>
      <xdr:row>27</xdr:row>
      <xdr:rowOff>76200</xdr:rowOff>
    </xdr:from>
    <xdr:to>
      <xdr:col>7</xdr:col>
      <xdr:colOff>664210</xdr:colOff>
      <xdr:row>28</xdr:row>
      <xdr:rowOff>156634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92370" y="5783580"/>
          <a:ext cx="85344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520700</xdr:colOff>
      <xdr:row>27</xdr:row>
      <xdr:rowOff>36195</xdr:rowOff>
    </xdr:from>
    <xdr:to>
      <xdr:col>4</xdr:col>
      <xdr:colOff>618067</xdr:colOff>
      <xdr:row>28</xdr:row>
      <xdr:rowOff>169969</xdr:rowOff>
    </xdr:to>
    <xdr:pic>
      <xdr:nvPicPr>
        <xdr:cNvPr id="4" name="图片 1" descr="MN`78HS84W)([3I$II4P$9C"/>
        <xdr:cNvPicPr>
          <a:picLocks noChangeAspect="1" noChangeArrowheads="1"/>
        </xdr:cNvPicPr>
      </xdr:nvPicPr>
      <xdr:blipFill>
        <a:blip r:embed="rId3">
          <a:lum bright="-24000" contrast="6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55900" y="5743575"/>
          <a:ext cx="83375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116205</xdr:colOff>
      <xdr:row>27</xdr:row>
      <xdr:rowOff>69215</xdr:rowOff>
    </xdr:from>
    <xdr:to>
      <xdr:col>2</xdr:col>
      <xdr:colOff>638175</xdr:colOff>
      <xdr:row>29</xdr:row>
      <xdr:rowOff>44450</xdr:rowOff>
    </xdr:to>
    <xdr:pic>
      <xdr:nvPicPr>
        <xdr:cNvPr id="5" name="图片 5" descr="C:\Users\Administrator\AppData\Roaming\Tencent\Users\542225521\QQ\WinTemp\RichOle\NWM@(S[(5O_0B3(7S8CDK{7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57605" y="5776595"/>
          <a:ext cx="521970" cy="318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85726</xdr:colOff>
      <xdr:row>2</xdr:row>
      <xdr:rowOff>88446</xdr:rowOff>
    </xdr:from>
    <xdr:to>
      <xdr:col>12</xdr:col>
      <xdr:colOff>809625</xdr:colOff>
      <xdr:row>23</xdr:row>
      <xdr:rowOff>76200</xdr:rowOff>
    </xdr:to>
    <xdr:graphicFrame>
      <xdr:nvGraphicFramePr>
        <xdr:cNvPr id="2" name="图表 1"/>
        <xdr:cNvGraphicFramePr/>
      </xdr:nvGraphicFramePr>
      <xdr:xfrm>
        <a:off x="5267325" y="766445"/>
        <a:ext cx="4787900" cy="4331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547370</xdr:colOff>
      <xdr:row>27</xdr:row>
      <xdr:rowOff>76200</xdr:rowOff>
    </xdr:from>
    <xdr:to>
      <xdr:col>7</xdr:col>
      <xdr:colOff>664210</xdr:colOff>
      <xdr:row>28</xdr:row>
      <xdr:rowOff>156634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92370" y="5783580"/>
          <a:ext cx="85344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520700</xdr:colOff>
      <xdr:row>27</xdr:row>
      <xdr:rowOff>36195</xdr:rowOff>
    </xdr:from>
    <xdr:to>
      <xdr:col>4</xdr:col>
      <xdr:colOff>618067</xdr:colOff>
      <xdr:row>28</xdr:row>
      <xdr:rowOff>169969</xdr:rowOff>
    </xdr:to>
    <xdr:pic>
      <xdr:nvPicPr>
        <xdr:cNvPr id="4" name="图片 1" descr="MN`78HS84W)([3I$II4P$9C"/>
        <xdr:cNvPicPr>
          <a:picLocks noChangeAspect="1" noChangeArrowheads="1"/>
        </xdr:cNvPicPr>
      </xdr:nvPicPr>
      <xdr:blipFill>
        <a:blip r:embed="rId3">
          <a:lum bright="-24000" contrast="6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55900" y="5743575"/>
          <a:ext cx="83375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116205</xdr:colOff>
      <xdr:row>27</xdr:row>
      <xdr:rowOff>69215</xdr:rowOff>
    </xdr:from>
    <xdr:to>
      <xdr:col>2</xdr:col>
      <xdr:colOff>638175</xdr:colOff>
      <xdr:row>29</xdr:row>
      <xdr:rowOff>44450</xdr:rowOff>
    </xdr:to>
    <xdr:pic>
      <xdr:nvPicPr>
        <xdr:cNvPr id="5" name="图片 5" descr="C:\Users\Administrator\AppData\Roaming\Tencent\Users\542225521\QQ\WinTemp\RichOle\NWM@(S[(5O_0B3(7S8CDK{7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57605" y="5776595"/>
          <a:ext cx="521970" cy="318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85726</xdr:colOff>
      <xdr:row>2</xdr:row>
      <xdr:rowOff>88446</xdr:rowOff>
    </xdr:from>
    <xdr:to>
      <xdr:col>12</xdr:col>
      <xdr:colOff>809625</xdr:colOff>
      <xdr:row>23</xdr:row>
      <xdr:rowOff>76200</xdr:rowOff>
    </xdr:to>
    <xdr:graphicFrame>
      <xdr:nvGraphicFramePr>
        <xdr:cNvPr id="2" name="图表 1"/>
        <xdr:cNvGraphicFramePr/>
      </xdr:nvGraphicFramePr>
      <xdr:xfrm>
        <a:off x="5267325" y="766445"/>
        <a:ext cx="4787900" cy="4331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547370</xdr:colOff>
      <xdr:row>27</xdr:row>
      <xdr:rowOff>76200</xdr:rowOff>
    </xdr:from>
    <xdr:to>
      <xdr:col>7</xdr:col>
      <xdr:colOff>664210</xdr:colOff>
      <xdr:row>28</xdr:row>
      <xdr:rowOff>156634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92370" y="5783580"/>
          <a:ext cx="85344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520700</xdr:colOff>
      <xdr:row>27</xdr:row>
      <xdr:rowOff>36195</xdr:rowOff>
    </xdr:from>
    <xdr:to>
      <xdr:col>4</xdr:col>
      <xdr:colOff>618067</xdr:colOff>
      <xdr:row>28</xdr:row>
      <xdr:rowOff>169969</xdr:rowOff>
    </xdr:to>
    <xdr:pic>
      <xdr:nvPicPr>
        <xdr:cNvPr id="4" name="图片 1" descr="MN`78HS84W)([3I$II4P$9C"/>
        <xdr:cNvPicPr>
          <a:picLocks noChangeAspect="1" noChangeArrowheads="1"/>
        </xdr:cNvPicPr>
      </xdr:nvPicPr>
      <xdr:blipFill>
        <a:blip r:embed="rId3">
          <a:lum bright="-24000" contrast="6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55900" y="5743575"/>
          <a:ext cx="83375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116205</xdr:colOff>
      <xdr:row>27</xdr:row>
      <xdr:rowOff>69215</xdr:rowOff>
    </xdr:from>
    <xdr:to>
      <xdr:col>2</xdr:col>
      <xdr:colOff>638175</xdr:colOff>
      <xdr:row>29</xdr:row>
      <xdr:rowOff>44450</xdr:rowOff>
    </xdr:to>
    <xdr:pic>
      <xdr:nvPicPr>
        <xdr:cNvPr id="5" name="图片 5" descr="C:\Users\Administrator\AppData\Roaming\Tencent\Users\542225521\QQ\WinTemp\RichOle\NWM@(S[(5O_0B3(7S8CDK{7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57605" y="5776595"/>
          <a:ext cx="521970" cy="318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showGridLines="0" zoomScale="115" zoomScaleNormal="115" zoomScaleSheetLayoutView="130" workbookViewId="0">
      <selection activeCell="C11" sqref="C11"/>
    </sheetView>
  </sheetViews>
  <sheetFormatPr defaultColWidth="9" defaultRowHeight="13.5"/>
  <cols>
    <col min="1" max="1" width="8.55833333333333" style="2" customWidth="1"/>
    <col min="2" max="2" width="5.10833333333333" style="2" customWidth="1"/>
    <col min="3" max="3" width="15.6666666666667" style="2" customWidth="1"/>
    <col min="4" max="7" width="9.66666666666667" style="2" customWidth="1"/>
    <col min="8" max="13" width="10.6666666666667" style="2" customWidth="1"/>
    <col min="14" max="16384" width="9" style="2"/>
  </cols>
  <sheetData>
    <row r="1" ht="22.5" customHeight="1" spans="1:10">
      <c r="A1" s="18"/>
      <c r="B1" s="18"/>
      <c r="C1" s="18"/>
      <c r="D1" s="18"/>
      <c r="E1" s="19" t="s">
        <v>0</v>
      </c>
      <c r="F1" s="19"/>
      <c r="G1" s="19"/>
      <c r="H1" s="19"/>
      <c r="I1" s="19"/>
      <c r="J1" s="19"/>
    </row>
    <row r="2" ht="30.9" customHeight="1" spans="2:13">
      <c r="B2" s="20" t="s">
        <v>1</v>
      </c>
      <c r="C2" s="21"/>
      <c r="D2" s="21"/>
      <c r="E2" s="21"/>
      <c r="F2" s="21"/>
      <c r="G2" s="22"/>
      <c r="H2" s="23" t="s">
        <v>2</v>
      </c>
      <c r="I2" s="23"/>
      <c r="J2" s="23"/>
      <c r="K2" s="37" t="s">
        <v>3</v>
      </c>
      <c r="L2" s="38"/>
      <c r="M2" s="39"/>
    </row>
    <row r="3" ht="27" spans="2:8">
      <c r="B3" s="24" t="s">
        <v>4</v>
      </c>
      <c r="C3" s="24" t="s">
        <v>5</v>
      </c>
      <c r="D3" s="25" t="s">
        <v>6</v>
      </c>
      <c r="E3" s="25" t="s">
        <v>7</v>
      </c>
      <c r="F3" s="25" t="s">
        <v>8</v>
      </c>
      <c r="G3" s="26" t="s">
        <v>9</v>
      </c>
      <c r="H3" s="27"/>
    </row>
    <row r="4" ht="15.75" customHeight="1" spans="2:9">
      <c r="B4" s="1">
        <v>1</v>
      </c>
      <c r="C4" s="28" t="s">
        <v>10</v>
      </c>
      <c r="D4" s="29">
        <v>1</v>
      </c>
      <c r="E4" s="29">
        <v>1</v>
      </c>
      <c r="F4" s="6">
        <v>100</v>
      </c>
      <c r="G4" s="1"/>
      <c r="H4" s="30">
        <v>1</v>
      </c>
      <c r="I4" s="2">
        <f t="shared" ref="I4:I22" si="0">F5-F4</f>
        <v>20</v>
      </c>
    </row>
    <row r="5" ht="15.75" customHeight="1" spans="2:9">
      <c r="B5" s="1">
        <v>2</v>
      </c>
      <c r="C5" s="28" t="s">
        <v>10</v>
      </c>
      <c r="D5" s="29">
        <v>2</v>
      </c>
      <c r="E5" s="29">
        <v>1</v>
      </c>
      <c r="F5" s="6">
        <v>120</v>
      </c>
      <c r="G5" s="1"/>
      <c r="H5" s="30">
        <f t="shared" ref="H5:H23" si="1">D5-D4</f>
        <v>1</v>
      </c>
      <c r="I5" s="2">
        <f t="shared" si="0"/>
        <v>-10</v>
      </c>
    </row>
    <row r="6" ht="15.75" customHeight="1" spans="2:9">
      <c r="B6" s="1">
        <v>3</v>
      </c>
      <c r="C6" s="28" t="s">
        <v>10</v>
      </c>
      <c r="D6" s="29">
        <v>3</v>
      </c>
      <c r="E6" s="29">
        <v>1</v>
      </c>
      <c r="F6" s="6">
        <v>110</v>
      </c>
      <c r="G6" s="1"/>
      <c r="H6" s="30">
        <f t="shared" si="1"/>
        <v>1</v>
      </c>
      <c r="I6" s="2">
        <f t="shared" si="0"/>
        <v>14</v>
      </c>
    </row>
    <row r="7" ht="15.75" customHeight="1" spans="2:9">
      <c r="B7" s="1">
        <v>4</v>
      </c>
      <c r="C7" s="28" t="s">
        <v>10</v>
      </c>
      <c r="D7" s="29">
        <v>4</v>
      </c>
      <c r="E7" s="29">
        <v>1</v>
      </c>
      <c r="F7" s="6">
        <v>124</v>
      </c>
      <c r="G7" s="1"/>
      <c r="H7" s="30">
        <f t="shared" si="1"/>
        <v>1</v>
      </c>
      <c r="I7" s="2">
        <f t="shared" si="0"/>
        <v>11</v>
      </c>
    </row>
    <row r="8" ht="15.75" customHeight="1" spans="2:9">
      <c r="B8" s="1">
        <v>5</v>
      </c>
      <c r="C8" s="28" t="s">
        <v>10</v>
      </c>
      <c r="D8" s="29">
        <v>5</v>
      </c>
      <c r="E8" s="29">
        <v>1</v>
      </c>
      <c r="F8" s="6">
        <v>135</v>
      </c>
      <c r="G8" s="1"/>
      <c r="H8" s="30">
        <f t="shared" si="1"/>
        <v>1</v>
      </c>
      <c r="I8" s="2">
        <f t="shared" si="0"/>
        <v>-14</v>
      </c>
    </row>
    <row r="9" ht="15.75" customHeight="1" spans="2:9">
      <c r="B9" s="1">
        <v>6</v>
      </c>
      <c r="C9" s="28" t="s">
        <v>10</v>
      </c>
      <c r="D9" s="29">
        <v>6</v>
      </c>
      <c r="E9" s="29">
        <v>1</v>
      </c>
      <c r="F9" s="6">
        <v>121</v>
      </c>
      <c r="G9" s="1"/>
      <c r="H9" s="30">
        <f t="shared" si="1"/>
        <v>1</v>
      </c>
      <c r="I9" s="2">
        <f t="shared" si="0"/>
        <v>-23</v>
      </c>
    </row>
    <row r="10" ht="15.75" customHeight="1" spans="2:9">
      <c r="B10" s="1">
        <v>7</v>
      </c>
      <c r="C10" s="28" t="s">
        <v>10</v>
      </c>
      <c r="D10" s="29">
        <v>7</v>
      </c>
      <c r="E10" s="29">
        <v>1</v>
      </c>
      <c r="F10" s="6">
        <v>98</v>
      </c>
      <c r="G10" s="1"/>
      <c r="H10" s="30">
        <f t="shared" si="1"/>
        <v>1</v>
      </c>
      <c r="I10" s="2">
        <f t="shared" si="0"/>
        <v>223</v>
      </c>
    </row>
    <row r="11" ht="15.75" customHeight="1" spans="2:9">
      <c r="B11" s="1">
        <v>8</v>
      </c>
      <c r="C11" s="28" t="s">
        <v>11</v>
      </c>
      <c r="D11" s="29">
        <v>8</v>
      </c>
      <c r="E11" s="29">
        <v>1</v>
      </c>
      <c r="F11" s="6">
        <v>321</v>
      </c>
      <c r="G11" s="1"/>
      <c r="H11" s="30">
        <f t="shared" si="1"/>
        <v>1</v>
      </c>
      <c r="I11" s="2">
        <f t="shared" si="0"/>
        <v>4</v>
      </c>
    </row>
    <row r="12" ht="15.75" customHeight="1" spans="2:9">
      <c r="B12" s="1">
        <v>9</v>
      </c>
      <c r="C12" s="28" t="s">
        <v>11</v>
      </c>
      <c r="D12" s="29">
        <v>9</v>
      </c>
      <c r="E12" s="29">
        <v>1</v>
      </c>
      <c r="F12" s="6">
        <v>325</v>
      </c>
      <c r="G12" s="1"/>
      <c r="H12" s="30">
        <f t="shared" si="1"/>
        <v>1</v>
      </c>
      <c r="I12" s="2">
        <f t="shared" si="0"/>
        <v>2</v>
      </c>
    </row>
    <row r="13" ht="15.75" customHeight="1" spans="2:9">
      <c r="B13" s="1">
        <v>10</v>
      </c>
      <c r="C13" s="28" t="s">
        <v>11</v>
      </c>
      <c r="D13" s="29">
        <v>10</v>
      </c>
      <c r="E13" s="29">
        <v>1</v>
      </c>
      <c r="F13" s="6">
        <v>327</v>
      </c>
      <c r="G13" s="1"/>
      <c r="H13" s="30">
        <f t="shared" si="1"/>
        <v>1</v>
      </c>
      <c r="I13" s="2">
        <f t="shared" si="0"/>
        <v>-1</v>
      </c>
    </row>
    <row r="14" ht="15.75" customHeight="1" spans="2:9">
      <c r="B14" s="1">
        <v>11</v>
      </c>
      <c r="C14" s="28" t="s">
        <v>11</v>
      </c>
      <c r="D14" s="29">
        <v>11</v>
      </c>
      <c r="E14" s="29">
        <v>1</v>
      </c>
      <c r="F14" s="6">
        <v>326</v>
      </c>
      <c r="G14" s="1"/>
      <c r="H14" s="30">
        <f t="shared" si="1"/>
        <v>1</v>
      </c>
      <c r="I14" s="2">
        <f t="shared" si="0"/>
        <v>550</v>
      </c>
    </row>
    <row r="15" ht="15.75" customHeight="1" spans="2:9">
      <c r="B15" s="1">
        <v>12</v>
      </c>
      <c r="C15" s="28" t="s">
        <v>12</v>
      </c>
      <c r="D15" s="29">
        <v>12</v>
      </c>
      <c r="E15" s="29">
        <v>1</v>
      </c>
      <c r="F15" s="6">
        <v>876</v>
      </c>
      <c r="G15" s="1"/>
      <c r="H15" s="30">
        <v>0</v>
      </c>
      <c r="I15" s="2">
        <f t="shared" si="0"/>
        <v>10</v>
      </c>
    </row>
    <row r="16" ht="15.75" customHeight="1" spans="2:9">
      <c r="B16" s="1">
        <v>13</v>
      </c>
      <c r="C16" s="28" t="s">
        <v>12</v>
      </c>
      <c r="D16" s="29">
        <v>13</v>
      </c>
      <c r="E16" s="29">
        <v>1</v>
      </c>
      <c r="F16" s="6">
        <v>886</v>
      </c>
      <c r="G16" s="1"/>
      <c r="H16" s="30">
        <f t="shared" si="1"/>
        <v>1</v>
      </c>
      <c r="I16" s="2">
        <f t="shared" si="0"/>
        <v>-44</v>
      </c>
    </row>
    <row r="17" ht="15.75" customHeight="1" spans="2:9">
      <c r="B17" s="1">
        <v>14</v>
      </c>
      <c r="C17" s="28" t="s">
        <v>12</v>
      </c>
      <c r="D17" s="29">
        <v>14</v>
      </c>
      <c r="E17" s="29">
        <v>1</v>
      </c>
      <c r="F17" s="6">
        <v>842</v>
      </c>
      <c r="G17" s="1"/>
      <c r="H17" s="30">
        <f t="shared" si="1"/>
        <v>1</v>
      </c>
      <c r="I17" s="2">
        <f t="shared" si="0"/>
        <v>17</v>
      </c>
    </row>
    <row r="18" ht="15.75" customHeight="1" spans="2:9">
      <c r="B18" s="1">
        <v>15</v>
      </c>
      <c r="C18" s="28" t="s">
        <v>12</v>
      </c>
      <c r="D18" s="29">
        <v>15</v>
      </c>
      <c r="E18" s="29">
        <v>1</v>
      </c>
      <c r="F18" s="6">
        <v>859</v>
      </c>
      <c r="G18" s="1"/>
      <c r="H18" s="30">
        <f t="shared" si="1"/>
        <v>1</v>
      </c>
      <c r="I18" s="2">
        <f t="shared" si="0"/>
        <v>15</v>
      </c>
    </row>
    <row r="19" ht="15.75" customHeight="1" spans="2:9">
      <c r="B19" s="1">
        <v>16</v>
      </c>
      <c r="C19" s="28" t="s">
        <v>12</v>
      </c>
      <c r="D19" s="29">
        <v>16</v>
      </c>
      <c r="E19" s="29">
        <v>1</v>
      </c>
      <c r="F19" s="1">
        <v>874</v>
      </c>
      <c r="G19" s="1"/>
      <c r="H19" s="30">
        <f t="shared" si="1"/>
        <v>1</v>
      </c>
      <c r="I19" s="2">
        <f t="shared" si="0"/>
        <v>14</v>
      </c>
    </row>
    <row r="20" ht="15.75" customHeight="1" spans="2:9">
      <c r="B20" s="1">
        <v>17</v>
      </c>
      <c r="C20" s="28" t="s">
        <v>12</v>
      </c>
      <c r="D20" s="29">
        <v>17</v>
      </c>
      <c r="E20" s="29">
        <v>1</v>
      </c>
      <c r="F20" s="1">
        <v>888</v>
      </c>
      <c r="G20" s="1"/>
      <c r="H20" s="30">
        <f t="shared" si="1"/>
        <v>1</v>
      </c>
      <c r="I20" s="2">
        <f t="shared" si="0"/>
        <v>-47</v>
      </c>
    </row>
    <row r="21" ht="15.75" customHeight="1" spans="2:9">
      <c r="B21" s="1">
        <v>18</v>
      </c>
      <c r="C21" s="28" t="s">
        <v>12</v>
      </c>
      <c r="D21" s="29">
        <v>18</v>
      </c>
      <c r="E21" s="29">
        <v>1</v>
      </c>
      <c r="F21" s="1">
        <v>841</v>
      </c>
      <c r="G21" s="1"/>
      <c r="H21" s="30">
        <f t="shared" si="1"/>
        <v>1</v>
      </c>
      <c r="I21" s="2">
        <f t="shared" si="0"/>
        <v>7</v>
      </c>
    </row>
    <row r="22" ht="15.75" customHeight="1" spans="2:9">
      <c r="B22" s="1">
        <v>19</v>
      </c>
      <c r="C22" s="28" t="s">
        <v>12</v>
      </c>
      <c r="D22" s="29">
        <v>19</v>
      </c>
      <c r="E22" s="29">
        <v>1</v>
      </c>
      <c r="F22" s="1">
        <v>848</v>
      </c>
      <c r="G22" s="1"/>
      <c r="H22" s="30">
        <f t="shared" si="1"/>
        <v>1</v>
      </c>
      <c r="I22" s="2">
        <f t="shared" si="0"/>
        <v>-848</v>
      </c>
    </row>
    <row r="23" ht="15.75" customHeight="1" spans="2:8">
      <c r="B23" s="1">
        <v>20</v>
      </c>
      <c r="C23" s="28"/>
      <c r="D23" s="29"/>
      <c r="E23" s="29"/>
      <c r="F23" s="1"/>
      <c r="G23" s="1"/>
      <c r="H23" s="30">
        <f t="shared" si="1"/>
        <v>-19</v>
      </c>
    </row>
    <row r="24" spans="2:7">
      <c r="B24" s="31"/>
      <c r="C24" s="31"/>
      <c r="D24" s="31"/>
      <c r="E24" s="31"/>
      <c r="F24" s="31"/>
      <c r="G24" s="31"/>
    </row>
    <row r="25" spans="2:7">
      <c r="B25" s="31"/>
      <c r="C25" s="31"/>
      <c r="D25" s="31"/>
      <c r="E25" s="31"/>
      <c r="F25" s="31"/>
      <c r="G25" s="31"/>
    </row>
    <row r="26" spans="2:7">
      <c r="B26" s="31"/>
      <c r="C26" s="31"/>
      <c r="D26" s="31"/>
      <c r="E26" s="31"/>
      <c r="F26" s="31"/>
      <c r="G26" s="31"/>
    </row>
    <row r="27" spans="2:7">
      <c r="B27" s="31"/>
      <c r="C27" s="31"/>
      <c r="D27" s="31"/>
      <c r="E27" s="31"/>
      <c r="F27" s="31"/>
      <c r="G27" s="31"/>
    </row>
    <row r="28" spans="2:7">
      <c r="B28" s="31"/>
      <c r="C28" s="31"/>
      <c r="D28" s="31"/>
      <c r="E28" s="31"/>
      <c r="F28" s="31"/>
      <c r="G28" s="31"/>
    </row>
    <row r="29" customHeight="1" spans="1:13">
      <c r="A29" s="32" t="s">
        <v>13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customHeight="1" spans="1:13">
      <c r="A30" s="18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2:7">
      <c r="B31" s="31"/>
      <c r="C31" s="31"/>
      <c r="D31" s="31"/>
      <c r="E31" s="31"/>
      <c r="F31" s="31"/>
      <c r="G31" s="31"/>
    </row>
    <row r="32" spans="4:7">
      <c r="D32" s="33" t="s">
        <v>14</v>
      </c>
      <c r="E32" s="34">
        <f>7/G32</f>
        <v>114.07207748558</v>
      </c>
      <c r="F32" s="35">
        <f>E4/F4</f>
        <v>0.01</v>
      </c>
      <c r="G32" s="2">
        <f>SUM(F32:F38)</f>
        <v>0.0613647104032525</v>
      </c>
    </row>
    <row r="33" spans="6:6">
      <c r="F33" s="35">
        <f t="shared" ref="F33:F51" si="2">E5/F5</f>
        <v>0.00833333333333333</v>
      </c>
    </row>
    <row r="34" spans="6:6">
      <c r="F34" s="35">
        <f t="shared" si="2"/>
        <v>0.00909090909090909</v>
      </c>
    </row>
    <row r="35" spans="6:6">
      <c r="F35" s="35">
        <f t="shared" si="2"/>
        <v>0.00806451612903226</v>
      </c>
    </row>
    <row r="36" spans="6:6">
      <c r="F36" s="35">
        <f t="shared" si="2"/>
        <v>0.00740740740740741</v>
      </c>
    </row>
    <row r="37" spans="6:10">
      <c r="F37" s="35">
        <f t="shared" si="2"/>
        <v>0.00826446280991736</v>
      </c>
      <c r="I37" s="2">
        <f>9.5/L48</f>
        <v>818.010612550251</v>
      </c>
      <c r="J37" s="6">
        <v>110.3</v>
      </c>
    </row>
    <row r="38" s="17" customFormat="1" spans="6:12">
      <c r="F38" s="36">
        <f t="shared" si="2"/>
        <v>0.0102040816326531</v>
      </c>
      <c r="J38" s="5">
        <v>105</v>
      </c>
      <c r="K38" s="17">
        <v>0.00961538461538462</v>
      </c>
      <c r="L38" s="17">
        <v>0.00123304562268804</v>
      </c>
    </row>
    <row r="39" spans="6:12">
      <c r="F39" s="35">
        <f t="shared" si="2"/>
        <v>0.00311526479750779</v>
      </c>
      <c r="J39" s="6">
        <v>104</v>
      </c>
      <c r="K39" s="2">
        <v>0.00462962962962963</v>
      </c>
      <c r="L39" s="2">
        <v>0.00119617224880383</v>
      </c>
    </row>
    <row r="40" spans="6:12">
      <c r="F40" s="35">
        <f t="shared" si="2"/>
        <v>0.00307692307692308</v>
      </c>
      <c r="J40" s="6">
        <v>108</v>
      </c>
      <c r="K40" s="2">
        <v>0.00906618313689937</v>
      </c>
      <c r="L40" s="2">
        <v>0.00121212121212121</v>
      </c>
    </row>
    <row r="41" spans="6:12">
      <c r="F41" s="2">
        <f t="shared" si="2"/>
        <v>0.00305810397553517</v>
      </c>
      <c r="J41" s="2">
        <f>SUM(J37:J40)</f>
        <v>427.3</v>
      </c>
      <c r="K41" s="2">
        <v>0.00952380952380952</v>
      </c>
      <c r="L41" s="2">
        <v>0.00121506682867558</v>
      </c>
    </row>
    <row r="42" spans="6:12">
      <c r="F42" s="2">
        <f t="shared" si="2"/>
        <v>0.00306748466257669</v>
      </c>
      <c r="J42" s="2">
        <f>J41/3.5</f>
        <v>122.085714285714</v>
      </c>
      <c r="K42" s="2">
        <f>SUM(K38:K41)</f>
        <v>0.0328350069057231</v>
      </c>
      <c r="L42" s="2">
        <v>0.00120336943441637</v>
      </c>
    </row>
    <row r="43" spans="6:12">
      <c r="F43" s="2">
        <f t="shared" si="2"/>
        <v>0.00114155251141553</v>
      </c>
      <c r="L43" s="2">
        <v>0.00126742712294043</v>
      </c>
    </row>
    <row r="44" spans="6:12">
      <c r="F44" s="2">
        <f t="shared" si="2"/>
        <v>0.00112866817155756</v>
      </c>
      <c r="L44" s="2">
        <v>0.00123304562268804</v>
      </c>
    </row>
    <row r="45" spans="6:12">
      <c r="F45" s="2">
        <f t="shared" si="2"/>
        <v>0.00118764845605701</v>
      </c>
      <c r="L45" s="2">
        <v>0.00122699386503067</v>
      </c>
    </row>
    <row r="46" spans="6:12">
      <c r="F46" s="2">
        <f t="shared" si="2"/>
        <v>0.00116414435389988</v>
      </c>
      <c r="L46" s="2">
        <v>0.00121802679658952</v>
      </c>
    </row>
    <row r="47" spans="6:12">
      <c r="F47" s="2">
        <f t="shared" si="2"/>
        <v>0.0011441647597254</v>
      </c>
      <c r="L47" s="2">
        <v>0.000608272506082725</v>
      </c>
    </row>
    <row r="48" spans="6:12">
      <c r="F48" s="2">
        <f t="shared" si="2"/>
        <v>0.00112612612612613</v>
      </c>
      <c r="L48" s="2">
        <f>SUM(L38:L47)</f>
        <v>0.0116135412600364</v>
      </c>
    </row>
    <row r="49" spans="6:6">
      <c r="F49" s="2">
        <f t="shared" si="2"/>
        <v>0.00118906064209275</v>
      </c>
    </row>
    <row r="50" spans="6:6">
      <c r="F50" s="2">
        <f t="shared" si="2"/>
        <v>0.00117924528301887</v>
      </c>
    </row>
    <row r="51" spans="6:6">
      <c r="F51" s="2" t="e">
        <f t="shared" si="2"/>
        <v>#DIV/0!</v>
      </c>
    </row>
  </sheetData>
  <mergeCells count="5">
    <mergeCell ref="E1:J1"/>
    <mergeCell ref="B2:G2"/>
    <mergeCell ref="H2:J2"/>
    <mergeCell ref="K2:M2"/>
    <mergeCell ref="A29:M29"/>
  </mergeCells>
  <pageMargins left="0.707638888888889" right="0.707638888888889" top="0.747916666666667" bottom="0.747916666666667" header="0.313888888888889" footer="0.313888888888889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showGridLines="0" zoomScale="115" zoomScaleNormal="115" zoomScaleSheetLayoutView="130" workbookViewId="0">
      <selection activeCell="F9" sqref="F9:F16"/>
    </sheetView>
  </sheetViews>
  <sheetFormatPr defaultColWidth="9" defaultRowHeight="13.5"/>
  <cols>
    <col min="1" max="1" width="8.55833333333333" style="2" customWidth="1"/>
    <col min="2" max="2" width="5.10833333333333" style="2" customWidth="1"/>
    <col min="3" max="3" width="15.6666666666667" style="2" customWidth="1"/>
    <col min="4" max="7" width="9.66666666666667" style="2" customWidth="1"/>
    <col min="8" max="13" width="10.6666666666667" style="2" customWidth="1"/>
    <col min="14" max="16384" width="9" style="2"/>
  </cols>
  <sheetData>
    <row r="1" ht="22.5" customHeight="1" spans="1:10">
      <c r="A1" s="18"/>
      <c r="B1" s="18"/>
      <c r="C1" s="18"/>
      <c r="D1" s="18"/>
      <c r="E1" s="19" t="s">
        <v>0</v>
      </c>
      <c r="F1" s="19"/>
      <c r="G1" s="19"/>
      <c r="H1" s="19"/>
      <c r="I1" s="19"/>
      <c r="J1" s="19"/>
    </row>
    <row r="2" ht="30.9" customHeight="1" spans="2:13">
      <c r="B2" s="20" t="str">
        <f>'1'!B2</f>
        <v>工程名称：阳光幸福里</v>
      </c>
      <c r="C2" s="21"/>
      <c r="D2" s="21"/>
      <c r="E2" s="21"/>
      <c r="F2" s="21"/>
      <c r="G2" s="22"/>
      <c r="H2" s="23" t="s">
        <v>15</v>
      </c>
      <c r="I2" s="23"/>
      <c r="J2" s="23"/>
      <c r="K2" s="37" t="s">
        <v>16</v>
      </c>
      <c r="L2" s="38"/>
      <c r="M2" s="39"/>
    </row>
    <row r="3" ht="27" spans="2:8">
      <c r="B3" s="24" t="s">
        <v>4</v>
      </c>
      <c r="C3" s="24" t="s">
        <v>5</v>
      </c>
      <c r="D3" s="25" t="s">
        <v>6</v>
      </c>
      <c r="E3" s="25" t="s">
        <v>7</v>
      </c>
      <c r="F3" s="25" t="s">
        <v>8</v>
      </c>
      <c r="G3" s="26" t="s">
        <v>9</v>
      </c>
      <c r="H3" s="27"/>
    </row>
    <row r="4" ht="15.75" customHeight="1" spans="2:9">
      <c r="B4" s="1">
        <v>1</v>
      </c>
      <c r="C4" s="28" t="s">
        <v>11</v>
      </c>
      <c r="D4" s="29">
        <v>1</v>
      </c>
      <c r="E4" s="29">
        <v>1</v>
      </c>
      <c r="F4" s="6">
        <v>323</v>
      </c>
      <c r="G4" s="1"/>
      <c r="H4" s="30">
        <v>1</v>
      </c>
      <c r="I4" s="2">
        <f t="shared" ref="I4:I22" si="0">F5-F4</f>
        <v>-2</v>
      </c>
    </row>
    <row r="5" ht="15.75" customHeight="1" spans="2:9">
      <c r="B5" s="1">
        <v>2</v>
      </c>
      <c r="C5" s="28" t="s">
        <v>11</v>
      </c>
      <c r="D5" s="29">
        <v>2</v>
      </c>
      <c r="E5" s="29">
        <v>1</v>
      </c>
      <c r="F5" s="6">
        <v>321</v>
      </c>
      <c r="G5" s="1"/>
      <c r="H5" s="30">
        <f t="shared" ref="H5:H14" si="1">D5-D4</f>
        <v>1</v>
      </c>
      <c r="I5" s="2">
        <f t="shared" si="0"/>
        <v>-9</v>
      </c>
    </row>
    <row r="6" ht="15.75" customHeight="1" spans="2:9">
      <c r="B6" s="1">
        <v>3</v>
      </c>
      <c r="C6" s="28" t="s">
        <v>11</v>
      </c>
      <c r="D6" s="29">
        <v>3</v>
      </c>
      <c r="E6" s="29">
        <v>1</v>
      </c>
      <c r="F6" s="6">
        <v>312</v>
      </c>
      <c r="G6" s="1"/>
      <c r="H6" s="30">
        <f t="shared" si="1"/>
        <v>1</v>
      </c>
      <c r="I6" s="2">
        <f t="shared" si="0"/>
        <v>9</v>
      </c>
    </row>
    <row r="7" ht="15.75" customHeight="1" spans="2:9">
      <c r="B7" s="1">
        <v>4</v>
      </c>
      <c r="C7" s="28" t="s">
        <v>11</v>
      </c>
      <c r="D7" s="29">
        <v>4</v>
      </c>
      <c r="E7" s="29">
        <v>1</v>
      </c>
      <c r="F7" s="6">
        <v>321</v>
      </c>
      <c r="G7" s="1"/>
      <c r="H7" s="30">
        <f t="shared" si="1"/>
        <v>1</v>
      </c>
      <c r="I7" s="2">
        <f t="shared" si="0"/>
        <v>1</v>
      </c>
    </row>
    <row r="8" ht="15.75" customHeight="1" spans="2:9">
      <c r="B8" s="1">
        <v>5</v>
      </c>
      <c r="C8" s="28" t="s">
        <v>11</v>
      </c>
      <c r="D8" s="29">
        <v>5</v>
      </c>
      <c r="E8" s="29">
        <v>1</v>
      </c>
      <c r="F8" s="6">
        <v>322</v>
      </c>
      <c r="G8" s="1"/>
      <c r="H8" s="30">
        <f t="shared" si="1"/>
        <v>1</v>
      </c>
      <c r="I8" s="2">
        <f t="shared" si="0"/>
        <v>534</v>
      </c>
    </row>
    <row r="9" ht="15.75" customHeight="1" spans="2:9">
      <c r="B9" s="1">
        <v>6</v>
      </c>
      <c r="C9" s="28" t="s">
        <v>12</v>
      </c>
      <c r="D9" s="29">
        <v>6</v>
      </c>
      <c r="E9" s="29">
        <v>1</v>
      </c>
      <c r="F9" s="6">
        <v>856</v>
      </c>
      <c r="G9" s="1"/>
      <c r="H9" s="30">
        <f t="shared" si="1"/>
        <v>1</v>
      </c>
      <c r="I9" s="2">
        <f t="shared" si="0"/>
        <v>-15</v>
      </c>
    </row>
    <row r="10" ht="15.75" customHeight="1" spans="2:9">
      <c r="B10" s="1">
        <v>7</v>
      </c>
      <c r="C10" s="28" t="s">
        <v>12</v>
      </c>
      <c r="D10" s="29">
        <v>7</v>
      </c>
      <c r="E10" s="29">
        <v>1</v>
      </c>
      <c r="F10" s="6">
        <v>841</v>
      </c>
      <c r="G10" s="1"/>
      <c r="H10" s="30">
        <f t="shared" si="1"/>
        <v>1</v>
      </c>
      <c r="I10" s="2">
        <f t="shared" si="0"/>
        <v>-24</v>
      </c>
    </row>
    <row r="11" ht="15.75" customHeight="1" spans="2:9">
      <c r="B11" s="1">
        <v>8</v>
      </c>
      <c r="C11" s="28" t="s">
        <v>12</v>
      </c>
      <c r="D11" s="29">
        <v>8</v>
      </c>
      <c r="E11" s="29">
        <v>1</v>
      </c>
      <c r="F11" s="6">
        <v>817</v>
      </c>
      <c r="G11" s="1"/>
      <c r="H11" s="30">
        <f t="shared" si="1"/>
        <v>1</v>
      </c>
      <c r="I11" s="2">
        <f t="shared" si="0"/>
        <v>-4</v>
      </c>
    </row>
    <row r="12" ht="15.75" customHeight="1" spans="2:9">
      <c r="B12" s="1">
        <v>9</v>
      </c>
      <c r="C12" s="28" t="s">
        <v>12</v>
      </c>
      <c r="D12" s="29">
        <v>9</v>
      </c>
      <c r="E12" s="29">
        <v>1</v>
      </c>
      <c r="F12" s="6">
        <v>813</v>
      </c>
      <c r="G12" s="1"/>
      <c r="H12" s="30">
        <f t="shared" si="1"/>
        <v>1</v>
      </c>
      <c r="I12" s="2">
        <f t="shared" si="0"/>
        <v>12</v>
      </c>
    </row>
    <row r="13" ht="15.75" customHeight="1" spans="2:9">
      <c r="B13" s="1">
        <v>10</v>
      </c>
      <c r="C13" s="28" t="s">
        <v>12</v>
      </c>
      <c r="D13" s="29">
        <v>10</v>
      </c>
      <c r="E13" s="29">
        <v>1</v>
      </c>
      <c r="F13" s="6">
        <v>825</v>
      </c>
      <c r="G13" s="1"/>
      <c r="H13" s="30">
        <f t="shared" si="1"/>
        <v>1</v>
      </c>
      <c r="I13" s="2">
        <f t="shared" si="0"/>
        <v>-9</v>
      </c>
    </row>
    <row r="14" ht="15.75" customHeight="1" spans="2:9">
      <c r="B14" s="1">
        <v>11</v>
      </c>
      <c r="C14" s="28" t="s">
        <v>12</v>
      </c>
      <c r="D14" s="29">
        <v>11</v>
      </c>
      <c r="E14" s="29">
        <v>1</v>
      </c>
      <c r="F14" s="6">
        <v>816</v>
      </c>
      <c r="G14" s="1"/>
      <c r="H14" s="30">
        <f t="shared" si="1"/>
        <v>1</v>
      </c>
      <c r="I14" s="2">
        <f t="shared" si="0"/>
        <v>38</v>
      </c>
    </row>
    <row r="15" ht="15.75" customHeight="1" spans="2:9">
      <c r="B15" s="1">
        <v>12</v>
      </c>
      <c r="C15" s="28" t="s">
        <v>12</v>
      </c>
      <c r="D15" s="29">
        <v>12</v>
      </c>
      <c r="E15" s="29">
        <v>1</v>
      </c>
      <c r="F15" s="6">
        <v>854</v>
      </c>
      <c r="G15" s="1"/>
      <c r="H15" s="30">
        <v>0</v>
      </c>
      <c r="I15" s="2">
        <f t="shared" si="0"/>
        <v>-3</v>
      </c>
    </row>
    <row r="16" ht="15.75" customHeight="1" spans="2:9">
      <c r="B16" s="1">
        <v>13</v>
      </c>
      <c r="C16" s="28" t="s">
        <v>12</v>
      </c>
      <c r="D16" s="29">
        <v>13</v>
      </c>
      <c r="E16" s="29">
        <v>1</v>
      </c>
      <c r="F16" s="6">
        <v>851</v>
      </c>
      <c r="G16" s="1"/>
      <c r="H16" s="30">
        <f t="shared" ref="H16:H23" si="2">D16-D15</f>
        <v>1</v>
      </c>
      <c r="I16" s="2">
        <f t="shared" si="0"/>
        <v>-851</v>
      </c>
    </row>
    <row r="17" ht="15.75" customHeight="1" spans="2:9">
      <c r="B17" s="1"/>
      <c r="C17" s="28"/>
      <c r="D17" s="29"/>
      <c r="E17" s="29"/>
      <c r="F17" s="6"/>
      <c r="G17" s="1"/>
      <c r="H17" s="30">
        <f t="shared" si="2"/>
        <v>-13</v>
      </c>
      <c r="I17" s="2">
        <f t="shared" si="0"/>
        <v>0</v>
      </c>
    </row>
    <row r="18" ht="15.75" customHeight="1" spans="2:9">
      <c r="B18" s="1"/>
      <c r="C18" s="28"/>
      <c r="D18" s="29"/>
      <c r="E18" s="29"/>
      <c r="F18" s="6"/>
      <c r="G18" s="1"/>
      <c r="H18" s="30">
        <f t="shared" si="2"/>
        <v>0</v>
      </c>
      <c r="I18" s="2">
        <f t="shared" si="0"/>
        <v>0</v>
      </c>
    </row>
    <row r="19" ht="15.75" customHeight="1" spans="2:9">
      <c r="B19" s="1"/>
      <c r="C19" s="28"/>
      <c r="D19" s="29"/>
      <c r="E19" s="29"/>
      <c r="F19" s="1"/>
      <c r="G19" s="1"/>
      <c r="H19" s="30">
        <f t="shared" si="2"/>
        <v>0</v>
      </c>
      <c r="I19" s="2">
        <f t="shared" si="0"/>
        <v>0</v>
      </c>
    </row>
    <row r="20" ht="15.75" customHeight="1" spans="2:9">
      <c r="B20" s="1"/>
      <c r="C20" s="28"/>
      <c r="D20" s="29"/>
      <c r="E20" s="29"/>
      <c r="F20" s="1"/>
      <c r="G20" s="1"/>
      <c r="H20" s="30">
        <f t="shared" si="2"/>
        <v>0</v>
      </c>
      <c r="I20" s="2">
        <f t="shared" si="0"/>
        <v>0</v>
      </c>
    </row>
    <row r="21" ht="15.75" customHeight="1" spans="2:9">
      <c r="B21" s="1"/>
      <c r="C21" s="28"/>
      <c r="D21" s="29"/>
      <c r="E21" s="29"/>
      <c r="F21" s="1"/>
      <c r="G21" s="1"/>
      <c r="H21" s="30">
        <f t="shared" si="2"/>
        <v>0</v>
      </c>
      <c r="I21" s="2">
        <f t="shared" si="0"/>
        <v>0</v>
      </c>
    </row>
    <row r="22" ht="15.75" customHeight="1" spans="2:9">
      <c r="B22" s="1"/>
      <c r="C22" s="28"/>
      <c r="D22" s="29"/>
      <c r="E22" s="29"/>
      <c r="F22" s="1"/>
      <c r="G22" s="1"/>
      <c r="H22" s="30">
        <f t="shared" si="2"/>
        <v>0</v>
      </c>
      <c r="I22" s="2">
        <f t="shared" si="0"/>
        <v>0</v>
      </c>
    </row>
    <row r="23" ht="15.75" customHeight="1" spans="2:8">
      <c r="B23" s="1"/>
      <c r="C23" s="28"/>
      <c r="D23" s="29"/>
      <c r="E23" s="29"/>
      <c r="F23" s="1"/>
      <c r="G23" s="1"/>
      <c r="H23" s="30">
        <f t="shared" si="2"/>
        <v>0</v>
      </c>
    </row>
    <row r="24" spans="2:7">
      <c r="B24" s="31"/>
      <c r="C24" s="31"/>
      <c r="D24" s="31"/>
      <c r="E24" s="31"/>
      <c r="F24" s="31"/>
      <c r="G24" s="31"/>
    </row>
    <row r="25" spans="2:7">
      <c r="B25" s="31"/>
      <c r="C25" s="31"/>
      <c r="D25" s="31"/>
      <c r="E25" s="31"/>
      <c r="F25" s="31"/>
      <c r="G25" s="31"/>
    </row>
    <row r="26" spans="2:7">
      <c r="B26" s="31"/>
      <c r="C26" s="31"/>
      <c r="D26" s="31"/>
      <c r="E26" s="31"/>
      <c r="F26" s="31"/>
      <c r="G26" s="31"/>
    </row>
    <row r="27" spans="2:7">
      <c r="B27" s="31"/>
      <c r="C27" s="31"/>
      <c r="D27" s="31"/>
      <c r="E27" s="31"/>
      <c r="F27" s="31"/>
      <c r="G27" s="31"/>
    </row>
    <row r="28" spans="2:7">
      <c r="B28" s="31"/>
      <c r="C28" s="31"/>
      <c r="D28" s="31"/>
      <c r="E28" s="31"/>
      <c r="F28" s="31"/>
      <c r="G28" s="31"/>
    </row>
    <row r="29" customHeight="1" spans="1:13">
      <c r="A29" s="32" t="s">
        <v>13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customHeight="1" spans="1:13">
      <c r="A30" s="18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2:7">
      <c r="B31" s="31"/>
      <c r="C31" s="31"/>
      <c r="D31" s="31"/>
      <c r="E31" s="31"/>
      <c r="F31" s="31"/>
      <c r="G31" s="31"/>
    </row>
    <row r="32" spans="4:7">
      <c r="D32" s="33" t="s">
        <v>14</v>
      </c>
      <c r="E32" s="34">
        <f>8/G32</f>
        <v>416.265615479427</v>
      </c>
      <c r="F32" s="35">
        <f t="shared" ref="F32:F51" si="3">E4/F4</f>
        <v>0.00309597523219814</v>
      </c>
      <c r="G32" s="2">
        <f>SUM(F32:F39)</f>
        <v>0.0192184982436902</v>
      </c>
    </row>
    <row r="33" spans="6:6">
      <c r="F33" s="35">
        <f t="shared" si="3"/>
        <v>0.00311526479750779</v>
      </c>
    </row>
    <row r="34" spans="6:6">
      <c r="F34" s="35">
        <f t="shared" si="3"/>
        <v>0.00320512820512821</v>
      </c>
    </row>
    <row r="35" spans="6:6">
      <c r="F35" s="35">
        <f t="shared" si="3"/>
        <v>0.00311526479750779</v>
      </c>
    </row>
    <row r="36" spans="6:6">
      <c r="F36" s="35">
        <f t="shared" si="3"/>
        <v>0.0031055900621118</v>
      </c>
    </row>
    <row r="37" spans="6:10">
      <c r="F37" s="35">
        <f t="shared" si="3"/>
        <v>0.00116822429906542</v>
      </c>
      <c r="I37" s="2">
        <f>9.5/L48</f>
        <v>818.010612550251</v>
      </c>
      <c r="J37" s="6">
        <v>110.3</v>
      </c>
    </row>
    <row r="38" s="17" customFormat="1" spans="6:12">
      <c r="F38" s="36">
        <f t="shared" si="3"/>
        <v>0.00118906064209275</v>
      </c>
      <c r="J38" s="5">
        <v>105</v>
      </c>
      <c r="K38" s="17">
        <v>0.00961538461538462</v>
      </c>
      <c r="L38" s="17">
        <v>0.00123304562268804</v>
      </c>
    </row>
    <row r="39" spans="6:12">
      <c r="F39" s="35">
        <f t="shared" si="3"/>
        <v>0.00122399020807834</v>
      </c>
      <c r="J39" s="6">
        <v>104</v>
      </c>
      <c r="K39" s="2">
        <v>0.00462962962962963</v>
      </c>
      <c r="L39" s="2">
        <v>0.00119617224880383</v>
      </c>
    </row>
    <row r="40" spans="6:12">
      <c r="F40" s="35">
        <f t="shared" si="3"/>
        <v>0.001230012300123</v>
      </c>
      <c r="J40" s="6">
        <v>108</v>
      </c>
      <c r="K40" s="2">
        <v>0.00906618313689937</v>
      </c>
      <c r="L40" s="2">
        <v>0.00121212121212121</v>
      </c>
    </row>
    <row r="41" spans="6:12">
      <c r="F41" s="2">
        <f t="shared" si="3"/>
        <v>0.00121212121212121</v>
      </c>
      <c r="J41" s="2">
        <f>SUM(J37:J40)</f>
        <v>427.3</v>
      </c>
      <c r="K41" s="2">
        <v>0.00952380952380952</v>
      </c>
      <c r="L41" s="2">
        <v>0.00121506682867558</v>
      </c>
    </row>
    <row r="42" spans="6:12">
      <c r="F42" s="2">
        <f t="shared" si="3"/>
        <v>0.00122549019607843</v>
      </c>
      <c r="J42" s="2">
        <f>J41/3.5</f>
        <v>122.085714285714</v>
      </c>
      <c r="K42" s="2">
        <f>SUM(K38:K41)</f>
        <v>0.0328350069057231</v>
      </c>
      <c r="L42" s="2">
        <v>0.00120336943441637</v>
      </c>
    </row>
    <row r="43" spans="6:12">
      <c r="F43" s="2">
        <f t="shared" si="3"/>
        <v>0.00117096018735363</v>
      </c>
      <c r="L43" s="2">
        <v>0.00126742712294043</v>
      </c>
    </row>
    <row r="44" spans="6:12">
      <c r="F44" s="2">
        <f t="shared" si="3"/>
        <v>0.00117508813160987</v>
      </c>
      <c r="L44" s="2">
        <v>0.00123304562268804</v>
      </c>
    </row>
    <row r="45" spans="6:12">
      <c r="F45" s="2" t="e">
        <f t="shared" si="3"/>
        <v>#DIV/0!</v>
      </c>
      <c r="L45" s="2">
        <v>0.00122699386503067</v>
      </c>
    </row>
    <row r="46" spans="6:12">
      <c r="F46" s="2" t="e">
        <f t="shared" si="3"/>
        <v>#DIV/0!</v>
      </c>
      <c r="L46" s="2">
        <v>0.00121802679658952</v>
      </c>
    </row>
    <row r="47" spans="6:12">
      <c r="F47" s="2" t="e">
        <f t="shared" si="3"/>
        <v>#DIV/0!</v>
      </c>
      <c r="L47" s="2">
        <v>0.000608272506082725</v>
      </c>
    </row>
    <row r="48" spans="6:12">
      <c r="F48" s="2" t="e">
        <f t="shared" si="3"/>
        <v>#DIV/0!</v>
      </c>
      <c r="L48" s="2">
        <f>SUM(L38:L47)</f>
        <v>0.0116135412600364</v>
      </c>
    </row>
    <row r="49" spans="6:6">
      <c r="F49" s="2" t="e">
        <f t="shared" si="3"/>
        <v>#DIV/0!</v>
      </c>
    </row>
    <row r="50" spans="6:6">
      <c r="F50" s="2" t="e">
        <f t="shared" si="3"/>
        <v>#DIV/0!</v>
      </c>
    </row>
    <row r="51" spans="6:6">
      <c r="F51" s="2" t="e">
        <f t="shared" si="3"/>
        <v>#DIV/0!</v>
      </c>
    </row>
  </sheetData>
  <mergeCells count="5">
    <mergeCell ref="E1:J1"/>
    <mergeCell ref="B2:G2"/>
    <mergeCell ref="H2:J2"/>
    <mergeCell ref="K2:M2"/>
    <mergeCell ref="A29:M29"/>
  </mergeCells>
  <pageMargins left="0.707638888888889" right="0.707638888888889" top="0.747916666666667" bottom="0.747916666666667" header="0.313888888888889" footer="0.313888888888889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showGridLines="0" zoomScale="115" zoomScaleNormal="115" zoomScaleSheetLayoutView="130" workbookViewId="0">
      <selection activeCell="F9" sqref="F9:F16"/>
    </sheetView>
  </sheetViews>
  <sheetFormatPr defaultColWidth="9" defaultRowHeight="13.5"/>
  <cols>
    <col min="1" max="1" width="8.55833333333333" style="2" customWidth="1"/>
    <col min="2" max="2" width="5.10833333333333" style="2" customWidth="1"/>
    <col min="3" max="3" width="15.6666666666667" style="2" customWidth="1"/>
    <col min="4" max="7" width="9.66666666666667" style="2" customWidth="1"/>
    <col min="8" max="13" width="10.6666666666667" style="2" customWidth="1"/>
    <col min="14" max="16384" width="9" style="2"/>
  </cols>
  <sheetData>
    <row r="1" ht="22.5" customHeight="1" spans="1:10">
      <c r="A1" s="18"/>
      <c r="B1" s="18"/>
      <c r="C1" s="18"/>
      <c r="D1" s="18"/>
      <c r="E1" s="19" t="s">
        <v>0</v>
      </c>
      <c r="F1" s="19"/>
      <c r="G1" s="19"/>
      <c r="H1" s="19"/>
      <c r="I1" s="19"/>
      <c r="J1" s="19"/>
    </row>
    <row r="2" ht="30.9" customHeight="1" spans="2:13">
      <c r="B2" s="20" t="str">
        <f>'1'!B2</f>
        <v>工程名称：阳光幸福里</v>
      </c>
      <c r="C2" s="21"/>
      <c r="D2" s="21"/>
      <c r="E2" s="21"/>
      <c r="F2" s="21"/>
      <c r="G2" s="22"/>
      <c r="H2" s="23" t="s">
        <v>17</v>
      </c>
      <c r="I2" s="23"/>
      <c r="J2" s="23"/>
      <c r="K2" s="37" t="s">
        <v>18</v>
      </c>
      <c r="L2" s="38"/>
      <c r="M2" s="39"/>
    </row>
    <row r="3" ht="27" spans="2:8">
      <c r="B3" s="24" t="s">
        <v>4</v>
      </c>
      <c r="C3" s="24" t="s">
        <v>5</v>
      </c>
      <c r="D3" s="25" t="s">
        <v>6</v>
      </c>
      <c r="E3" s="25" t="s">
        <v>7</v>
      </c>
      <c r="F3" s="25" t="s">
        <v>8</v>
      </c>
      <c r="G3" s="26" t="s">
        <v>9</v>
      </c>
      <c r="H3" s="27"/>
    </row>
    <row r="4" ht="15.75" customHeight="1" spans="2:9">
      <c r="B4" s="1">
        <v>1</v>
      </c>
      <c r="C4" s="28" t="s">
        <v>10</v>
      </c>
      <c r="D4" s="29">
        <v>1</v>
      </c>
      <c r="E4" s="29">
        <v>1</v>
      </c>
      <c r="F4" s="6">
        <v>102</v>
      </c>
      <c r="G4" s="1"/>
      <c r="H4" s="30">
        <v>1</v>
      </c>
      <c r="I4" s="2">
        <f t="shared" ref="I4:I22" si="0">F5-F4</f>
        <v>213</v>
      </c>
    </row>
    <row r="5" ht="15.75" customHeight="1" spans="2:9">
      <c r="B5" s="1">
        <v>2</v>
      </c>
      <c r="C5" s="28" t="s">
        <v>11</v>
      </c>
      <c r="D5" s="29">
        <v>2</v>
      </c>
      <c r="E5" s="29">
        <v>1</v>
      </c>
      <c r="F5" s="6">
        <v>315</v>
      </c>
      <c r="G5" s="1"/>
      <c r="H5" s="30">
        <f t="shared" ref="H5:H14" si="1">D5-D4</f>
        <v>1</v>
      </c>
      <c r="I5" s="2">
        <f t="shared" si="0"/>
        <v>8</v>
      </c>
    </row>
    <row r="6" ht="15.75" customHeight="1" spans="2:9">
      <c r="B6" s="1">
        <v>3</v>
      </c>
      <c r="C6" s="28" t="s">
        <v>11</v>
      </c>
      <c r="D6" s="29">
        <v>3</v>
      </c>
      <c r="E6" s="29">
        <v>1</v>
      </c>
      <c r="F6" s="6">
        <v>323</v>
      </c>
      <c r="G6" s="1"/>
      <c r="H6" s="30">
        <f t="shared" si="1"/>
        <v>1</v>
      </c>
      <c r="I6" s="2">
        <f t="shared" si="0"/>
        <v>253</v>
      </c>
    </row>
    <row r="7" ht="15.75" customHeight="1" spans="2:9">
      <c r="B7" s="1">
        <v>4</v>
      </c>
      <c r="C7" s="28" t="s">
        <v>19</v>
      </c>
      <c r="D7" s="29">
        <v>4</v>
      </c>
      <c r="E7" s="29">
        <v>1</v>
      </c>
      <c r="F7" s="6">
        <v>576</v>
      </c>
      <c r="G7" s="1"/>
      <c r="H7" s="30">
        <f t="shared" si="1"/>
        <v>1</v>
      </c>
      <c r="I7" s="2">
        <f t="shared" si="0"/>
        <v>-5</v>
      </c>
    </row>
    <row r="8" ht="15.75" customHeight="1" spans="2:9">
      <c r="B8" s="1">
        <v>5</v>
      </c>
      <c r="C8" s="28" t="s">
        <v>19</v>
      </c>
      <c r="D8" s="29">
        <v>5</v>
      </c>
      <c r="E8" s="29">
        <v>1</v>
      </c>
      <c r="F8" s="6">
        <v>571</v>
      </c>
      <c r="G8" s="1"/>
      <c r="H8" s="30">
        <f t="shared" si="1"/>
        <v>1</v>
      </c>
      <c r="I8" s="2">
        <f t="shared" si="0"/>
        <v>272</v>
      </c>
    </row>
    <row r="9" ht="15.75" customHeight="1" spans="2:9">
      <c r="B9" s="1">
        <v>6</v>
      </c>
      <c r="C9" s="28" t="s">
        <v>12</v>
      </c>
      <c r="D9" s="29">
        <v>6</v>
      </c>
      <c r="E9" s="29">
        <v>1</v>
      </c>
      <c r="F9" s="6">
        <v>843</v>
      </c>
      <c r="G9" s="1"/>
      <c r="H9" s="30">
        <f t="shared" si="1"/>
        <v>1</v>
      </c>
      <c r="I9" s="2">
        <f t="shared" si="0"/>
        <v>-1</v>
      </c>
    </row>
    <row r="10" ht="15.75" customHeight="1" spans="2:9">
      <c r="B10" s="1">
        <v>7</v>
      </c>
      <c r="C10" s="28" t="s">
        <v>12</v>
      </c>
      <c r="D10" s="29">
        <v>7</v>
      </c>
      <c r="E10" s="29">
        <v>1</v>
      </c>
      <c r="F10" s="6">
        <v>842</v>
      </c>
      <c r="G10" s="1"/>
      <c r="H10" s="30">
        <f t="shared" si="1"/>
        <v>1</v>
      </c>
      <c r="I10" s="2">
        <f t="shared" si="0"/>
        <v>-27</v>
      </c>
    </row>
    <row r="11" ht="15.75" customHeight="1" spans="2:9">
      <c r="B11" s="1">
        <v>8</v>
      </c>
      <c r="C11" s="28" t="s">
        <v>12</v>
      </c>
      <c r="D11" s="29">
        <v>8</v>
      </c>
      <c r="E11" s="29">
        <v>1</v>
      </c>
      <c r="F11" s="6">
        <v>815</v>
      </c>
      <c r="G11" s="1"/>
      <c r="H11" s="30">
        <f t="shared" si="1"/>
        <v>1</v>
      </c>
      <c r="I11" s="2">
        <f t="shared" si="0"/>
        <v>19</v>
      </c>
    </row>
    <row r="12" ht="15.75" customHeight="1" spans="2:9">
      <c r="B12" s="1">
        <v>9</v>
      </c>
      <c r="C12" s="28" t="s">
        <v>12</v>
      </c>
      <c r="D12" s="29">
        <v>9</v>
      </c>
      <c r="E12" s="29">
        <v>1</v>
      </c>
      <c r="F12" s="6">
        <v>834</v>
      </c>
      <c r="G12" s="1"/>
      <c r="H12" s="30">
        <f t="shared" si="1"/>
        <v>1</v>
      </c>
      <c r="I12" s="2">
        <f t="shared" si="0"/>
        <v>0</v>
      </c>
    </row>
    <row r="13" ht="15.75" customHeight="1" spans="2:9">
      <c r="B13" s="1">
        <v>10</v>
      </c>
      <c r="C13" s="28" t="s">
        <v>12</v>
      </c>
      <c r="D13" s="29">
        <v>10</v>
      </c>
      <c r="E13" s="29">
        <v>1</v>
      </c>
      <c r="F13" s="6">
        <v>834</v>
      </c>
      <c r="G13" s="1"/>
      <c r="H13" s="30">
        <f t="shared" si="1"/>
        <v>1</v>
      </c>
      <c r="I13" s="2">
        <f t="shared" si="0"/>
        <v>-10</v>
      </c>
    </row>
    <row r="14" ht="15.75" customHeight="1" spans="2:9">
      <c r="B14" s="1">
        <v>11</v>
      </c>
      <c r="C14" s="28" t="s">
        <v>12</v>
      </c>
      <c r="D14" s="29">
        <v>11</v>
      </c>
      <c r="E14" s="29">
        <v>1</v>
      </c>
      <c r="F14" s="6">
        <v>824</v>
      </c>
      <c r="G14" s="1"/>
      <c r="H14" s="30">
        <f t="shared" si="1"/>
        <v>1</v>
      </c>
      <c r="I14" s="2">
        <f t="shared" si="0"/>
        <v>-10</v>
      </c>
    </row>
    <row r="15" ht="15.75" customHeight="1" spans="2:9">
      <c r="B15" s="1">
        <v>12</v>
      </c>
      <c r="C15" s="28" t="s">
        <v>12</v>
      </c>
      <c r="D15" s="29">
        <v>12</v>
      </c>
      <c r="E15" s="29">
        <v>1</v>
      </c>
      <c r="F15" s="6">
        <v>814</v>
      </c>
      <c r="G15" s="1"/>
      <c r="H15" s="30">
        <v>0</v>
      </c>
      <c r="I15" s="2">
        <f t="shared" si="0"/>
        <v>55</v>
      </c>
    </row>
    <row r="16" ht="15.75" customHeight="1" spans="2:9">
      <c r="B16" s="1">
        <v>13</v>
      </c>
      <c r="C16" s="28" t="s">
        <v>12</v>
      </c>
      <c r="D16" s="29">
        <v>13</v>
      </c>
      <c r="E16" s="29">
        <v>1</v>
      </c>
      <c r="F16" s="6">
        <v>869</v>
      </c>
      <c r="G16" s="1"/>
      <c r="H16" s="30">
        <f t="shared" ref="H16:H23" si="2">D16-D15</f>
        <v>1</v>
      </c>
      <c r="I16" s="2">
        <f t="shared" si="0"/>
        <v>-869</v>
      </c>
    </row>
    <row r="17" ht="15.75" customHeight="1" spans="2:9">
      <c r="B17" s="1"/>
      <c r="C17" s="28"/>
      <c r="D17" s="29"/>
      <c r="E17" s="29"/>
      <c r="F17" s="6"/>
      <c r="G17" s="1"/>
      <c r="H17" s="30">
        <f t="shared" si="2"/>
        <v>-13</v>
      </c>
      <c r="I17" s="2">
        <f t="shared" si="0"/>
        <v>0</v>
      </c>
    </row>
    <row r="18" ht="15.75" customHeight="1" spans="2:9">
      <c r="B18" s="1"/>
      <c r="C18" s="28"/>
      <c r="D18" s="29"/>
      <c r="E18" s="29"/>
      <c r="F18" s="6"/>
      <c r="G18" s="1"/>
      <c r="H18" s="30">
        <f t="shared" si="2"/>
        <v>0</v>
      </c>
      <c r="I18" s="2">
        <f t="shared" si="0"/>
        <v>0</v>
      </c>
    </row>
    <row r="19" ht="15.75" customHeight="1" spans="2:9">
      <c r="B19" s="1"/>
      <c r="C19" s="28"/>
      <c r="D19" s="29"/>
      <c r="E19" s="29"/>
      <c r="F19" s="1"/>
      <c r="G19" s="1"/>
      <c r="H19" s="30">
        <f t="shared" si="2"/>
        <v>0</v>
      </c>
      <c r="I19" s="2">
        <f t="shared" si="0"/>
        <v>0</v>
      </c>
    </row>
    <row r="20" ht="15.75" customHeight="1" spans="2:9">
      <c r="B20" s="1"/>
      <c r="C20" s="28"/>
      <c r="D20" s="29"/>
      <c r="E20" s="29"/>
      <c r="F20" s="1"/>
      <c r="G20" s="1"/>
      <c r="H20" s="30">
        <f t="shared" si="2"/>
        <v>0</v>
      </c>
      <c r="I20" s="2">
        <f t="shared" si="0"/>
        <v>0</v>
      </c>
    </row>
    <row r="21" ht="15.75" customHeight="1" spans="2:9">
      <c r="B21" s="1"/>
      <c r="C21" s="28"/>
      <c r="D21" s="29"/>
      <c r="E21" s="29"/>
      <c r="F21" s="1"/>
      <c r="G21" s="1"/>
      <c r="H21" s="30">
        <f t="shared" si="2"/>
        <v>0</v>
      </c>
      <c r="I21" s="2">
        <f t="shared" si="0"/>
        <v>0</v>
      </c>
    </row>
    <row r="22" ht="15.75" customHeight="1" spans="2:9">
      <c r="B22" s="1"/>
      <c r="C22" s="28"/>
      <c r="D22" s="29"/>
      <c r="E22" s="29"/>
      <c r="F22" s="1"/>
      <c r="G22" s="1"/>
      <c r="H22" s="30">
        <f t="shared" si="2"/>
        <v>0</v>
      </c>
      <c r="I22" s="2">
        <f t="shared" si="0"/>
        <v>0</v>
      </c>
    </row>
    <row r="23" ht="15.75" customHeight="1" spans="2:8">
      <c r="B23" s="1"/>
      <c r="C23" s="28"/>
      <c r="D23" s="29"/>
      <c r="E23" s="29"/>
      <c r="F23" s="1"/>
      <c r="G23" s="1"/>
      <c r="H23" s="30">
        <f t="shared" si="2"/>
        <v>0</v>
      </c>
    </row>
    <row r="24" spans="2:7">
      <c r="B24" s="31"/>
      <c r="C24" s="31"/>
      <c r="D24" s="31"/>
      <c r="E24" s="31"/>
      <c r="F24" s="31"/>
      <c r="G24" s="31"/>
    </row>
    <row r="25" spans="2:7">
      <c r="B25" s="31"/>
      <c r="C25" s="31"/>
      <c r="D25" s="31"/>
      <c r="E25" s="31"/>
      <c r="F25" s="31"/>
      <c r="G25" s="31"/>
    </row>
    <row r="26" spans="2:7">
      <c r="B26" s="31"/>
      <c r="C26" s="31"/>
      <c r="D26" s="31"/>
      <c r="E26" s="31"/>
      <c r="F26" s="31"/>
      <c r="G26" s="31"/>
    </row>
    <row r="27" spans="2:7">
      <c r="B27" s="31"/>
      <c r="C27" s="31"/>
      <c r="D27" s="31"/>
      <c r="E27" s="31"/>
      <c r="F27" s="31"/>
      <c r="G27" s="31"/>
    </row>
    <row r="28" spans="2:7">
      <c r="B28" s="31"/>
      <c r="C28" s="31"/>
      <c r="D28" s="31"/>
      <c r="E28" s="31"/>
      <c r="F28" s="31"/>
      <c r="G28" s="31"/>
    </row>
    <row r="29" customHeight="1" spans="1:13">
      <c r="A29" s="32" t="s">
        <v>13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customHeight="1" spans="1:13">
      <c r="A30" s="18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2:7">
      <c r="B31" s="31"/>
      <c r="C31" s="31"/>
      <c r="D31" s="31"/>
      <c r="E31" s="31"/>
      <c r="F31" s="31"/>
      <c r="G31" s="31"/>
    </row>
    <row r="32" spans="4:7">
      <c r="D32" s="33" t="s">
        <v>14</v>
      </c>
      <c r="E32" s="34">
        <f>8/G32</f>
        <v>345.381290279313</v>
      </c>
      <c r="F32" s="35">
        <f t="shared" ref="F32:F51" si="3">E4/F4</f>
        <v>0.00980392156862745</v>
      </c>
      <c r="G32" s="2">
        <f>SUM(F32:F39)</f>
        <v>0.0231628065131447</v>
      </c>
    </row>
    <row r="33" spans="6:6">
      <c r="F33" s="35">
        <f t="shared" si="3"/>
        <v>0.00317460317460317</v>
      </c>
    </row>
    <row r="34" spans="6:6">
      <c r="F34" s="35">
        <f t="shared" si="3"/>
        <v>0.00309597523219814</v>
      </c>
    </row>
    <row r="35" spans="6:6">
      <c r="F35" s="35">
        <f t="shared" si="3"/>
        <v>0.00173611111111111</v>
      </c>
    </row>
    <row r="36" spans="6:6">
      <c r="F36" s="35">
        <f t="shared" si="3"/>
        <v>0.00175131348511384</v>
      </c>
    </row>
    <row r="37" spans="6:10">
      <c r="F37" s="35">
        <f t="shared" si="3"/>
        <v>0.00118623962040332</v>
      </c>
      <c r="I37" s="2">
        <f>9.5/L48</f>
        <v>818.010612550251</v>
      </c>
      <c r="J37" s="6">
        <v>110.3</v>
      </c>
    </row>
    <row r="38" s="17" customFormat="1" spans="6:12">
      <c r="F38" s="36">
        <f t="shared" si="3"/>
        <v>0.00118764845605701</v>
      </c>
      <c r="J38" s="5">
        <v>105</v>
      </c>
      <c r="K38" s="17">
        <v>0.00961538461538462</v>
      </c>
      <c r="L38" s="17">
        <v>0.00123304562268804</v>
      </c>
    </row>
    <row r="39" spans="6:12">
      <c r="F39" s="35">
        <f t="shared" si="3"/>
        <v>0.00122699386503067</v>
      </c>
      <c r="J39" s="6">
        <v>104</v>
      </c>
      <c r="K39" s="2">
        <v>0.00462962962962963</v>
      </c>
      <c r="L39" s="2">
        <v>0.00119617224880383</v>
      </c>
    </row>
    <row r="40" spans="6:12">
      <c r="F40" s="35">
        <f t="shared" si="3"/>
        <v>0.00119904076738609</v>
      </c>
      <c r="J40" s="6">
        <v>108</v>
      </c>
      <c r="K40" s="2">
        <v>0.00906618313689937</v>
      </c>
      <c r="L40" s="2">
        <v>0.00121212121212121</v>
      </c>
    </row>
    <row r="41" spans="6:12">
      <c r="F41" s="2">
        <f t="shared" si="3"/>
        <v>0.00119904076738609</v>
      </c>
      <c r="J41" s="2">
        <f>SUM(J37:J40)</f>
        <v>427.3</v>
      </c>
      <c r="K41" s="2">
        <v>0.00952380952380952</v>
      </c>
      <c r="L41" s="2">
        <v>0.00121506682867558</v>
      </c>
    </row>
    <row r="42" spans="6:12">
      <c r="F42" s="2">
        <f t="shared" si="3"/>
        <v>0.00121359223300971</v>
      </c>
      <c r="J42" s="2">
        <f>J41/3.5</f>
        <v>122.085714285714</v>
      </c>
      <c r="K42" s="2">
        <f>SUM(K38:K41)</f>
        <v>0.0328350069057231</v>
      </c>
      <c r="L42" s="2">
        <v>0.00120336943441637</v>
      </c>
    </row>
    <row r="43" spans="6:12">
      <c r="F43" s="2">
        <f t="shared" si="3"/>
        <v>0.00122850122850123</v>
      </c>
      <c r="L43" s="2">
        <v>0.00126742712294043</v>
      </c>
    </row>
    <row r="44" spans="6:12">
      <c r="F44" s="2">
        <f t="shared" si="3"/>
        <v>0.00115074798619102</v>
      </c>
      <c r="L44" s="2">
        <v>0.00123304562268804</v>
      </c>
    </row>
    <row r="45" spans="6:12">
      <c r="F45" s="2" t="e">
        <f t="shared" si="3"/>
        <v>#DIV/0!</v>
      </c>
      <c r="L45" s="2">
        <v>0.00122699386503067</v>
      </c>
    </row>
    <row r="46" spans="6:12">
      <c r="F46" s="2" t="e">
        <f t="shared" si="3"/>
        <v>#DIV/0!</v>
      </c>
      <c r="L46" s="2">
        <v>0.00121802679658952</v>
      </c>
    </row>
    <row r="47" spans="6:12">
      <c r="F47" s="2" t="e">
        <f t="shared" si="3"/>
        <v>#DIV/0!</v>
      </c>
      <c r="L47" s="2">
        <v>0.000608272506082725</v>
      </c>
    </row>
    <row r="48" spans="6:12">
      <c r="F48" s="2" t="e">
        <f t="shared" si="3"/>
        <v>#DIV/0!</v>
      </c>
      <c r="L48" s="2">
        <f>SUM(L38:L47)</f>
        <v>0.0116135412600364</v>
      </c>
    </row>
    <row r="49" spans="6:6">
      <c r="F49" s="2" t="e">
        <f t="shared" si="3"/>
        <v>#DIV/0!</v>
      </c>
    </row>
    <row r="50" spans="6:6">
      <c r="F50" s="2" t="e">
        <f t="shared" si="3"/>
        <v>#DIV/0!</v>
      </c>
    </row>
    <row r="51" spans="6:6">
      <c r="F51" s="2" t="e">
        <f t="shared" si="3"/>
        <v>#DIV/0!</v>
      </c>
    </row>
  </sheetData>
  <mergeCells count="5">
    <mergeCell ref="E1:J1"/>
    <mergeCell ref="B2:G2"/>
    <mergeCell ref="H2:J2"/>
    <mergeCell ref="K2:M2"/>
    <mergeCell ref="A29:M29"/>
  </mergeCells>
  <pageMargins left="0.707638888888889" right="0.707638888888889" top="0.747916666666667" bottom="0.747916666666667" header="0.313888888888889" footer="0.313888888888889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showGridLines="0" tabSelected="1" zoomScale="115" zoomScaleNormal="115" zoomScaleSheetLayoutView="130" workbookViewId="0">
      <selection activeCell="E17" sqref="E17"/>
    </sheetView>
  </sheetViews>
  <sheetFormatPr defaultColWidth="9" defaultRowHeight="13.5"/>
  <cols>
    <col min="1" max="1" width="8.55833333333333" style="2" customWidth="1"/>
    <col min="2" max="2" width="5.10833333333333" style="2" customWidth="1"/>
    <col min="3" max="3" width="15.6666666666667" style="2" customWidth="1"/>
    <col min="4" max="7" width="9.66666666666667" style="2" customWidth="1"/>
    <col min="8" max="13" width="10.6666666666667" style="2" customWidth="1"/>
    <col min="14" max="16384" width="9" style="2"/>
  </cols>
  <sheetData>
    <row r="1" ht="22.5" customHeight="1" spans="1:10">
      <c r="A1" s="18"/>
      <c r="B1" s="18"/>
      <c r="C1" s="18"/>
      <c r="D1" s="18"/>
      <c r="E1" s="19" t="s">
        <v>0</v>
      </c>
      <c r="F1" s="19"/>
      <c r="G1" s="19"/>
      <c r="H1" s="19"/>
      <c r="I1" s="19"/>
      <c r="J1" s="19"/>
    </row>
    <row r="2" ht="30.9" customHeight="1" spans="2:13">
      <c r="B2" s="20" t="str">
        <f>'1'!B2</f>
        <v>工程名称：阳光幸福里</v>
      </c>
      <c r="C2" s="21"/>
      <c r="D2" s="21"/>
      <c r="E2" s="21"/>
      <c r="F2" s="21"/>
      <c r="G2" s="22"/>
      <c r="H2" s="23" t="s">
        <v>20</v>
      </c>
      <c r="I2" s="23"/>
      <c r="J2" s="23"/>
      <c r="K2" s="37" t="s">
        <v>21</v>
      </c>
      <c r="L2" s="38"/>
      <c r="M2" s="39"/>
    </row>
    <row r="3" ht="27" spans="2:8">
      <c r="B3" s="24" t="s">
        <v>4</v>
      </c>
      <c r="C3" s="24" t="s">
        <v>5</v>
      </c>
      <c r="D3" s="25" t="s">
        <v>6</v>
      </c>
      <c r="E3" s="25" t="s">
        <v>7</v>
      </c>
      <c r="F3" s="25" t="s">
        <v>8</v>
      </c>
      <c r="G3" s="26" t="s">
        <v>9</v>
      </c>
      <c r="H3" s="27"/>
    </row>
    <row r="4" ht="15.75" customHeight="1" spans="2:9">
      <c r="B4" s="1">
        <v>1</v>
      </c>
      <c r="C4" s="28" t="s">
        <v>11</v>
      </c>
      <c r="D4" s="29">
        <v>1</v>
      </c>
      <c r="E4" s="29">
        <v>1</v>
      </c>
      <c r="F4" s="6">
        <v>309</v>
      </c>
      <c r="G4" s="1"/>
      <c r="H4" s="30">
        <v>1</v>
      </c>
      <c r="I4" s="2">
        <f t="shared" ref="I4:I22" si="0">F5-F4</f>
        <v>208</v>
      </c>
    </row>
    <row r="5" ht="15.75" customHeight="1" spans="2:9">
      <c r="B5" s="1">
        <v>2</v>
      </c>
      <c r="C5" s="28" t="s">
        <v>22</v>
      </c>
      <c r="D5" s="29">
        <v>2</v>
      </c>
      <c r="E5" s="29">
        <v>1</v>
      </c>
      <c r="F5" s="6">
        <v>517</v>
      </c>
      <c r="G5" s="1"/>
      <c r="H5" s="30">
        <f t="shared" ref="H5:H14" si="1">D5-D4</f>
        <v>1</v>
      </c>
      <c r="I5" s="2">
        <f t="shared" si="0"/>
        <v>324</v>
      </c>
    </row>
    <row r="6" ht="15.75" customHeight="1" spans="2:9">
      <c r="B6" s="1">
        <v>3</v>
      </c>
      <c r="C6" s="28" t="s">
        <v>12</v>
      </c>
      <c r="D6" s="29">
        <v>3</v>
      </c>
      <c r="E6" s="29">
        <v>1</v>
      </c>
      <c r="F6" s="6">
        <v>841</v>
      </c>
      <c r="G6" s="1"/>
      <c r="H6" s="30">
        <f t="shared" si="1"/>
        <v>1</v>
      </c>
      <c r="I6" s="2">
        <f t="shared" si="0"/>
        <v>11</v>
      </c>
    </row>
    <row r="7" ht="15.75" customHeight="1" spans="2:9">
      <c r="B7" s="1">
        <v>4</v>
      </c>
      <c r="C7" s="28" t="s">
        <v>12</v>
      </c>
      <c r="D7" s="29">
        <v>4</v>
      </c>
      <c r="E7" s="29">
        <v>1</v>
      </c>
      <c r="F7" s="6">
        <v>852</v>
      </c>
      <c r="G7" s="1"/>
      <c r="H7" s="30">
        <f t="shared" si="1"/>
        <v>1</v>
      </c>
      <c r="I7" s="2">
        <f t="shared" si="0"/>
        <v>-9</v>
      </c>
    </row>
    <row r="8" ht="15.75" customHeight="1" spans="2:9">
      <c r="B8" s="1">
        <v>5</v>
      </c>
      <c r="C8" s="28" t="s">
        <v>12</v>
      </c>
      <c r="D8" s="29">
        <v>5</v>
      </c>
      <c r="E8" s="29">
        <v>1</v>
      </c>
      <c r="F8" s="6">
        <v>843</v>
      </c>
      <c r="G8" s="1"/>
      <c r="H8" s="30">
        <f t="shared" si="1"/>
        <v>1</v>
      </c>
      <c r="I8" s="2">
        <f t="shared" si="0"/>
        <v>-30</v>
      </c>
    </row>
    <row r="9" ht="15.75" customHeight="1" spans="2:9">
      <c r="B9" s="1">
        <v>6</v>
      </c>
      <c r="C9" s="28" t="s">
        <v>12</v>
      </c>
      <c r="D9" s="29">
        <v>6</v>
      </c>
      <c r="E9" s="29">
        <v>1</v>
      </c>
      <c r="F9" s="6">
        <v>813</v>
      </c>
      <c r="G9" s="1"/>
      <c r="H9" s="30">
        <f t="shared" si="1"/>
        <v>1</v>
      </c>
      <c r="I9" s="2">
        <f t="shared" si="0"/>
        <v>45</v>
      </c>
    </row>
    <row r="10" ht="15.75" customHeight="1" spans="2:9">
      <c r="B10" s="1">
        <v>7</v>
      </c>
      <c r="C10" s="28" t="s">
        <v>12</v>
      </c>
      <c r="D10" s="29">
        <v>7</v>
      </c>
      <c r="E10" s="29">
        <v>1</v>
      </c>
      <c r="F10" s="6">
        <v>858</v>
      </c>
      <c r="G10" s="1"/>
      <c r="H10" s="30">
        <f t="shared" si="1"/>
        <v>1</v>
      </c>
      <c r="I10" s="2">
        <f t="shared" si="0"/>
        <v>-2</v>
      </c>
    </row>
    <row r="11" ht="15.75" customHeight="1" spans="2:9">
      <c r="B11" s="1">
        <v>8</v>
      </c>
      <c r="C11" s="28" t="s">
        <v>12</v>
      </c>
      <c r="D11" s="29">
        <v>8</v>
      </c>
      <c r="E11" s="29">
        <v>1</v>
      </c>
      <c r="F11" s="6">
        <v>856</v>
      </c>
      <c r="G11" s="1"/>
      <c r="H11" s="30">
        <f t="shared" si="1"/>
        <v>1</v>
      </c>
      <c r="I11" s="2">
        <f t="shared" si="0"/>
        <v>-1</v>
      </c>
    </row>
    <row r="12" ht="15.75" customHeight="1" spans="2:9">
      <c r="B12" s="1">
        <v>9</v>
      </c>
      <c r="C12" s="28" t="s">
        <v>12</v>
      </c>
      <c r="D12" s="29">
        <v>9</v>
      </c>
      <c r="E12" s="29">
        <v>1</v>
      </c>
      <c r="F12" s="6">
        <v>855</v>
      </c>
      <c r="G12" s="1"/>
      <c r="H12" s="30">
        <f t="shared" si="1"/>
        <v>1</v>
      </c>
      <c r="I12" s="2">
        <f t="shared" si="0"/>
        <v>-10</v>
      </c>
    </row>
    <row r="13" ht="15.75" customHeight="1" spans="2:9">
      <c r="B13" s="1">
        <v>10</v>
      </c>
      <c r="C13" s="28" t="s">
        <v>12</v>
      </c>
      <c r="D13" s="29">
        <v>10</v>
      </c>
      <c r="E13" s="29">
        <v>1</v>
      </c>
      <c r="F13" s="6">
        <v>845</v>
      </c>
      <c r="G13" s="1"/>
      <c r="H13" s="30">
        <f t="shared" si="1"/>
        <v>1</v>
      </c>
      <c r="I13" s="2">
        <f t="shared" si="0"/>
        <v>18</v>
      </c>
    </row>
    <row r="14" ht="15.75" customHeight="1" spans="2:9">
      <c r="B14" s="1">
        <v>11</v>
      </c>
      <c r="C14" s="28" t="s">
        <v>12</v>
      </c>
      <c r="D14" s="29">
        <v>11</v>
      </c>
      <c r="E14" s="29">
        <v>1</v>
      </c>
      <c r="F14" s="6">
        <v>863</v>
      </c>
      <c r="G14" s="1"/>
      <c r="H14" s="30">
        <f t="shared" si="1"/>
        <v>1</v>
      </c>
      <c r="I14" s="2">
        <f t="shared" si="0"/>
        <v>-9</v>
      </c>
    </row>
    <row r="15" ht="15.75" customHeight="1" spans="2:9">
      <c r="B15" s="1">
        <v>12</v>
      </c>
      <c r="C15" s="28" t="s">
        <v>12</v>
      </c>
      <c r="D15" s="29">
        <v>12</v>
      </c>
      <c r="E15" s="29">
        <v>1</v>
      </c>
      <c r="F15" s="6">
        <v>854</v>
      </c>
      <c r="G15" s="1"/>
      <c r="H15" s="30">
        <v>0</v>
      </c>
      <c r="I15" s="2">
        <f t="shared" si="0"/>
        <v>-3</v>
      </c>
    </row>
    <row r="16" ht="15.75" customHeight="1" spans="2:9">
      <c r="B16" s="1">
        <v>13</v>
      </c>
      <c r="C16" s="28" t="s">
        <v>12</v>
      </c>
      <c r="D16" s="29">
        <v>13</v>
      </c>
      <c r="E16" s="29">
        <v>1</v>
      </c>
      <c r="F16" s="6">
        <v>851</v>
      </c>
      <c r="G16" s="1"/>
      <c r="H16" s="30">
        <f t="shared" ref="H16:H23" si="2">D16-D15</f>
        <v>1</v>
      </c>
      <c r="I16" s="2">
        <f t="shared" si="0"/>
        <v>-851</v>
      </c>
    </row>
    <row r="17" ht="15.75" customHeight="1" spans="2:9">
      <c r="B17" s="1"/>
      <c r="C17" s="28"/>
      <c r="D17" s="29"/>
      <c r="E17" s="29"/>
      <c r="F17" s="6"/>
      <c r="G17" s="1"/>
      <c r="H17" s="30">
        <f t="shared" si="2"/>
        <v>-13</v>
      </c>
      <c r="I17" s="2">
        <f t="shared" si="0"/>
        <v>0</v>
      </c>
    </row>
    <row r="18" ht="15.75" customHeight="1" spans="2:9">
      <c r="B18" s="1"/>
      <c r="C18" s="28"/>
      <c r="D18" s="29"/>
      <c r="E18" s="29"/>
      <c r="F18" s="6"/>
      <c r="G18" s="1"/>
      <c r="H18" s="30">
        <f t="shared" si="2"/>
        <v>0</v>
      </c>
      <c r="I18" s="2">
        <f t="shared" si="0"/>
        <v>0</v>
      </c>
    </row>
    <row r="19" ht="15.75" customHeight="1" spans="2:9">
      <c r="B19" s="1"/>
      <c r="C19" s="28"/>
      <c r="D19" s="29"/>
      <c r="E19" s="29"/>
      <c r="F19" s="1"/>
      <c r="G19" s="1"/>
      <c r="H19" s="30">
        <f t="shared" si="2"/>
        <v>0</v>
      </c>
      <c r="I19" s="2">
        <f t="shared" si="0"/>
        <v>0</v>
      </c>
    </row>
    <row r="20" ht="15.75" customHeight="1" spans="2:9">
      <c r="B20" s="1"/>
      <c r="C20" s="28"/>
      <c r="D20" s="29"/>
      <c r="E20" s="29"/>
      <c r="F20" s="1"/>
      <c r="G20" s="1"/>
      <c r="H20" s="30">
        <f t="shared" si="2"/>
        <v>0</v>
      </c>
      <c r="I20" s="2">
        <f t="shared" si="0"/>
        <v>0</v>
      </c>
    </row>
    <row r="21" ht="15.75" customHeight="1" spans="2:9">
      <c r="B21" s="1"/>
      <c r="C21" s="28"/>
      <c r="D21" s="29"/>
      <c r="E21" s="29"/>
      <c r="F21" s="1"/>
      <c r="G21" s="1"/>
      <c r="H21" s="30">
        <f t="shared" si="2"/>
        <v>0</v>
      </c>
      <c r="I21" s="2">
        <f t="shared" si="0"/>
        <v>0</v>
      </c>
    </row>
    <row r="22" ht="15.75" customHeight="1" spans="2:9">
      <c r="B22" s="1"/>
      <c r="C22" s="28"/>
      <c r="D22" s="29"/>
      <c r="E22" s="29"/>
      <c r="F22" s="1"/>
      <c r="G22" s="1"/>
      <c r="H22" s="30">
        <f t="shared" si="2"/>
        <v>0</v>
      </c>
      <c r="I22" s="2">
        <f t="shared" si="0"/>
        <v>0</v>
      </c>
    </row>
    <row r="23" ht="15.75" customHeight="1" spans="2:8">
      <c r="B23" s="1"/>
      <c r="C23" s="28"/>
      <c r="D23" s="29"/>
      <c r="E23" s="29"/>
      <c r="F23" s="1"/>
      <c r="G23" s="1"/>
      <c r="H23" s="30">
        <f t="shared" si="2"/>
        <v>0</v>
      </c>
    </row>
    <row r="24" spans="2:7">
      <c r="B24" s="31"/>
      <c r="C24" s="31"/>
      <c r="D24" s="31"/>
      <c r="E24" s="31"/>
      <c r="F24" s="31"/>
      <c r="G24" s="31"/>
    </row>
    <row r="25" spans="2:7">
      <c r="B25" s="31"/>
      <c r="C25" s="31"/>
      <c r="D25" s="31"/>
      <c r="E25" s="31"/>
      <c r="F25" s="31"/>
      <c r="G25" s="31"/>
    </row>
    <row r="26" spans="2:7">
      <c r="B26" s="31"/>
      <c r="C26" s="31"/>
      <c r="D26" s="31"/>
      <c r="E26" s="31"/>
      <c r="F26" s="31"/>
      <c r="G26" s="31"/>
    </row>
    <row r="27" spans="2:7">
      <c r="B27" s="31"/>
      <c r="C27" s="31"/>
      <c r="D27" s="31"/>
      <c r="E27" s="31"/>
      <c r="F27" s="31"/>
      <c r="G27" s="31"/>
    </row>
    <row r="28" spans="2:7">
      <c r="B28" s="31"/>
      <c r="C28" s="31"/>
      <c r="D28" s="31"/>
      <c r="E28" s="31"/>
      <c r="F28" s="31"/>
      <c r="G28" s="31"/>
    </row>
    <row r="29" customHeight="1" spans="1:13">
      <c r="A29" s="32" t="s">
        <v>13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customHeight="1" spans="1:13">
      <c r="A30" s="18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2:7">
      <c r="B31" s="31"/>
      <c r="C31" s="31"/>
      <c r="D31" s="31"/>
      <c r="E31" s="31"/>
      <c r="F31" s="31"/>
      <c r="G31" s="31"/>
    </row>
    <row r="32" spans="4:7">
      <c r="D32" s="33" t="s">
        <v>14</v>
      </c>
      <c r="E32" s="34">
        <f>8/G32</f>
        <v>651.294547948342</v>
      </c>
      <c r="F32" s="35">
        <f t="shared" ref="F32:F51" si="3">E4/F4</f>
        <v>0.00323624595469256</v>
      </c>
      <c r="G32" s="2">
        <f>SUM(F32:F39)</f>
        <v>0.0122832288788552</v>
      </c>
    </row>
    <row r="33" spans="6:6">
      <c r="F33" s="35">
        <f t="shared" si="3"/>
        <v>0.00193423597678917</v>
      </c>
    </row>
    <row r="34" spans="6:6">
      <c r="F34" s="35">
        <f t="shared" si="3"/>
        <v>0.00118906064209275</v>
      </c>
    </row>
    <row r="35" spans="6:6">
      <c r="F35" s="35">
        <f t="shared" si="3"/>
        <v>0.00117370892018779</v>
      </c>
    </row>
    <row r="36" spans="6:6">
      <c r="F36" s="35">
        <f t="shared" si="3"/>
        <v>0.00118623962040332</v>
      </c>
    </row>
    <row r="37" spans="6:10">
      <c r="F37" s="35">
        <f t="shared" si="3"/>
        <v>0.001230012300123</v>
      </c>
      <c r="I37" s="2">
        <f>9.5/L48</f>
        <v>818.010612550251</v>
      </c>
      <c r="J37" s="6">
        <v>110.3</v>
      </c>
    </row>
    <row r="38" s="17" customFormat="1" spans="6:12">
      <c r="F38" s="36">
        <f t="shared" si="3"/>
        <v>0.00116550116550117</v>
      </c>
      <c r="J38" s="5">
        <v>105</v>
      </c>
      <c r="K38" s="17">
        <v>0.00961538461538462</v>
      </c>
      <c r="L38" s="17">
        <v>0.00123304562268804</v>
      </c>
    </row>
    <row r="39" spans="6:12">
      <c r="F39" s="35">
        <f t="shared" si="3"/>
        <v>0.00116822429906542</v>
      </c>
      <c r="J39" s="6">
        <v>104</v>
      </c>
      <c r="K39" s="2">
        <v>0.00462962962962963</v>
      </c>
      <c r="L39" s="2">
        <v>0.00119617224880383</v>
      </c>
    </row>
    <row r="40" spans="6:12">
      <c r="F40" s="35">
        <f t="shared" si="3"/>
        <v>0.00116959064327485</v>
      </c>
      <c r="J40" s="6">
        <v>108</v>
      </c>
      <c r="K40" s="2">
        <v>0.00906618313689937</v>
      </c>
      <c r="L40" s="2">
        <v>0.00121212121212121</v>
      </c>
    </row>
    <row r="41" spans="6:12">
      <c r="F41" s="2">
        <f t="shared" si="3"/>
        <v>0.00118343195266272</v>
      </c>
      <c r="J41" s="2">
        <f>SUM(J37:J40)</f>
        <v>427.3</v>
      </c>
      <c r="K41" s="2">
        <v>0.00952380952380952</v>
      </c>
      <c r="L41" s="2">
        <v>0.00121506682867558</v>
      </c>
    </row>
    <row r="42" spans="6:12">
      <c r="F42" s="2">
        <f t="shared" si="3"/>
        <v>0.00115874855156431</v>
      </c>
      <c r="J42" s="2">
        <f>J41/3.5</f>
        <v>122.085714285714</v>
      </c>
      <c r="K42" s="2">
        <f>SUM(K38:K41)</f>
        <v>0.0328350069057231</v>
      </c>
      <c r="L42" s="2">
        <v>0.00120336943441637</v>
      </c>
    </row>
    <row r="43" spans="6:12">
      <c r="F43" s="2">
        <f t="shared" si="3"/>
        <v>0.00117096018735363</v>
      </c>
      <c r="L43" s="2">
        <v>0.00126742712294043</v>
      </c>
    </row>
    <row r="44" spans="6:12">
      <c r="F44" s="2">
        <f t="shared" si="3"/>
        <v>0.00117508813160987</v>
      </c>
      <c r="L44" s="2">
        <v>0.00123304562268804</v>
      </c>
    </row>
    <row r="45" spans="6:12">
      <c r="F45" s="2" t="e">
        <f t="shared" si="3"/>
        <v>#DIV/0!</v>
      </c>
      <c r="L45" s="2">
        <v>0.00122699386503067</v>
      </c>
    </row>
    <row r="46" spans="6:12">
      <c r="F46" s="2" t="e">
        <f t="shared" si="3"/>
        <v>#DIV/0!</v>
      </c>
      <c r="L46" s="2">
        <v>0.00121802679658952</v>
      </c>
    </row>
    <row r="47" spans="6:12">
      <c r="F47" s="2" t="e">
        <f t="shared" si="3"/>
        <v>#DIV/0!</v>
      </c>
      <c r="L47" s="2">
        <v>0.000608272506082725</v>
      </c>
    </row>
    <row r="48" spans="6:12">
      <c r="F48" s="2" t="e">
        <f t="shared" si="3"/>
        <v>#DIV/0!</v>
      </c>
      <c r="L48" s="2">
        <f>SUM(L38:L47)</f>
        <v>0.0116135412600364</v>
      </c>
    </row>
    <row r="49" spans="6:6">
      <c r="F49" s="2" t="e">
        <f t="shared" si="3"/>
        <v>#DIV/0!</v>
      </c>
    </row>
    <row r="50" spans="6:6">
      <c r="F50" s="2" t="e">
        <f t="shared" si="3"/>
        <v>#DIV/0!</v>
      </c>
    </row>
    <row r="51" spans="6:6">
      <c r="F51" s="2" t="e">
        <f t="shared" si="3"/>
        <v>#DIV/0!</v>
      </c>
    </row>
  </sheetData>
  <mergeCells count="5">
    <mergeCell ref="E1:J1"/>
    <mergeCell ref="B2:G2"/>
    <mergeCell ref="H2:J2"/>
    <mergeCell ref="K2:M2"/>
    <mergeCell ref="A29:M29"/>
  </mergeCells>
  <pageMargins left="0.707638888888889" right="0.707638888888889" top="0.747916666666667" bottom="0.747916666666667" header="0.313888888888889" footer="0.313888888888889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6"/>
  <sheetViews>
    <sheetView topLeftCell="A103" workbookViewId="0">
      <selection activeCell="F143" sqref="F143"/>
    </sheetView>
  </sheetViews>
  <sheetFormatPr defaultColWidth="9" defaultRowHeight="13.5"/>
  <cols>
    <col min="3" max="3" width="14.8833333333333" customWidth="1"/>
    <col min="4" max="4" width="13" customWidth="1"/>
    <col min="6" max="6" width="12.8916666666667"/>
    <col min="9" max="10" width="12.6333333333333"/>
    <col min="12" max="12" width="12.6333333333333"/>
    <col min="14" max="14" width="12.6333333333333"/>
    <col min="16" max="17" width="12.6333333333333"/>
    <col min="19" max="19" width="12.6333333333333"/>
  </cols>
  <sheetData>
    <row r="1" spans="1:14">
      <c r="A1" s="1" t="s">
        <v>23</v>
      </c>
      <c r="B1" s="1" t="s">
        <v>24</v>
      </c>
      <c r="C1" s="2" t="s">
        <v>25</v>
      </c>
      <c r="D1" s="1" t="s">
        <v>26</v>
      </c>
      <c r="E1" s="3" t="s">
        <v>27</v>
      </c>
      <c r="F1" s="4" t="s">
        <v>28</v>
      </c>
      <c r="G1" t="s">
        <v>29</v>
      </c>
      <c r="H1" t="s">
        <v>30</v>
      </c>
      <c r="I1" t="s">
        <v>31</v>
      </c>
      <c r="J1" t="s">
        <v>32</v>
      </c>
      <c r="N1" s="6">
        <v>260</v>
      </c>
    </row>
    <row r="2" spans="1:14">
      <c r="A2" s="5">
        <v>83</v>
      </c>
      <c r="B2" s="6">
        <v>120</v>
      </c>
      <c r="C2" s="5">
        <v>144</v>
      </c>
      <c r="D2" s="5">
        <v>220</v>
      </c>
      <c r="E2" s="5">
        <v>80</v>
      </c>
      <c r="F2" s="5">
        <v>165</v>
      </c>
      <c r="G2">
        <v>290</v>
      </c>
      <c r="H2" s="5">
        <v>330</v>
      </c>
      <c r="I2">
        <v>500</v>
      </c>
      <c r="J2">
        <v>1000</v>
      </c>
      <c r="N2" s="6">
        <v>270</v>
      </c>
    </row>
    <row r="3" spans="1:14">
      <c r="A3" s="5">
        <v>83</v>
      </c>
      <c r="B3" s="6">
        <v>150</v>
      </c>
      <c r="C3" s="5">
        <v>153</v>
      </c>
      <c r="D3" s="5">
        <v>230</v>
      </c>
      <c r="E3" s="1"/>
      <c r="F3" s="5">
        <v>170</v>
      </c>
      <c r="H3" s="5">
        <v>335</v>
      </c>
      <c r="J3">
        <v>1001</v>
      </c>
      <c r="N3" s="6">
        <v>268</v>
      </c>
    </row>
    <row r="4" spans="1:14">
      <c r="A4" s="5">
        <v>85</v>
      </c>
      <c r="B4" s="6">
        <v>103</v>
      </c>
      <c r="C4" s="5">
        <v>153</v>
      </c>
      <c r="D4" s="5">
        <v>231</v>
      </c>
      <c r="E4" s="1"/>
      <c r="F4" s="1"/>
      <c r="H4" s="5">
        <v>337</v>
      </c>
      <c r="J4">
        <v>1012</v>
      </c>
      <c r="N4" s="6">
        <v>271</v>
      </c>
    </row>
    <row r="5" spans="1:14">
      <c r="A5" s="1"/>
      <c r="B5" s="6">
        <v>133</v>
      </c>
      <c r="C5" s="5">
        <v>152</v>
      </c>
      <c r="D5" s="5">
        <v>235</v>
      </c>
      <c r="E5" s="1"/>
      <c r="F5" s="1"/>
      <c r="H5" s="5">
        <v>330</v>
      </c>
      <c r="J5">
        <v>1011</v>
      </c>
      <c r="N5" s="6">
        <v>269</v>
      </c>
    </row>
    <row r="6" spans="1:14">
      <c r="A6" s="1"/>
      <c r="B6" s="6">
        <v>132</v>
      </c>
      <c r="C6" s="5">
        <v>160</v>
      </c>
      <c r="D6" s="5">
        <v>235</v>
      </c>
      <c r="E6" s="1"/>
      <c r="F6" s="1"/>
      <c r="H6" s="5">
        <v>340</v>
      </c>
      <c r="J6">
        <v>1001</v>
      </c>
      <c r="N6" s="6">
        <v>267</v>
      </c>
    </row>
    <row r="7" spans="1:14">
      <c r="A7" s="1"/>
      <c r="B7" s="6">
        <v>130</v>
      </c>
      <c r="C7" s="5">
        <v>167</v>
      </c>
      <c r="D7" s="5">
        <v>239</v>
      </c>
      <c r="E7" s="1"/>
      <c r="F7" s="1"/>
      <c r="H7" s="5">
        <v>340</v>
      </c>
      <c r="J7">
        <v>1015</v>
      </c>
      <c r="N7" s="6">
        <v>287</v>
      </c>
    </row>
    <row r="8" spans="1:14">
      <c r="A8" s="1"/>
      <c r="B8" s="6">
        <v>141</v>
      </c>
      <c r="C8" s="5">
        <v>166</v>
      </c>
      <c r="D8" s="5">
        <v>241</v>
      </c>
      <c r="E8" s="7"/>
      <c r="F8" s="1"/>
      <c r="H8" s="5">
        <v>345</v>
      </c>
      <c r="J8">
        <v>1011</v>
      </c>
      <c r="N8" s="6">
        <v>276</v>
      </c>
    </row>
    <row r="9" spans="1:17">
      <c r="A9" s="1"/>
      <c r="B9" s="6">
        <v>140</v>
      </c>
      <c r="C9" s="5">
        <v>169</v>
      </c>
      <c r="D9" s="5">
        <v>245</v>
      </c>
      <c r="E9" s="7"/>
      <c r="F9" s="1"/>
      <c r="H9" s="5">
        <v>350</v>
      </c>
      <c r="J9">
        <v>1011</v>
      </c>
      <c r="N9" s="6">
        <v>276</v>
      </c>
      <c r="P9" s="6">
        <v>368</v>
      </c>
      <c r="Q9">
        <v>1</v>
      </c>
    </row>
    <row r="10" spans="1:17">
      <c r="A10" s="1"/>
      <c r="B10" s="6">
        <v>174</v>
      </c>
      <c r="C10" s="5">
        <v>170</v>
      </c>
      <c r="D10" s="5">
        <v>249</v>
      </c>
      <c r="E10" s="1"/>
      <c r="H10" s="5">
        <v>356</v>
      </c>
      <c r="J10">
        <v>1010</v>
      </c>
      <c r="N10" s="6">
        <v>288</v>
      </c>
      <c r="P10" s="6">
        <v>366</v>
      </c>
      <c r="Q10">
        <v>2</v>
      </c>
    </row>
    <row r="11" spans="1:17">
      <c r="A11" s="1"/>
      <c r="B11" s="6">
        <v>130</v>
      </c>
      <c r="C11" s="5">
        <v>166</v>
      </c>
      <c r="D11" s="5">
        <v>253</v>
      </c>
      <c r="E11" s="1"/>
      <c r="H11" s="5">
        <v>356</v>
      </c>
      <c r="J11">
        <v>1009</v>
      </c>
      <c r="N11" s="6">
        <v>260</v>
      </c>
      <c r="P11" s="6">
        <v>369</v>
      </c>
      <c r="Q11">
        <v>3</v>
      </c>
    </row>
    <row r="12" spans="1:17">
      <c r="A12" s="1"/>
      <c r="B12" s="6">
        <v>116</v>
      </c>
      <c r="C12" s="5">
        <v>171</v>
      </c>
      <c r="D12" s="5">
        <v>180</v>
      </c>
      <c r="E12" s="1"/>
      <c r="H12" s="5">
        <v>370</v>
      </c>
      <c r="J12">
        <v>1010</v>
      </c>
      <c r="N12" s="6">
        <v>288</v>
      </c>
      <c r="P12" s="6">
        <v>368</v>
      </c>
      <c r="Q12">
        <v>4</v>
      </c>
    </row>
    <row r="13" spans="2:17">
      <c r="B13" s="6">
        <v>120</v>
      </c>
      <c r="C13" s="5">
        <v>170</v>
      </c>
      <c r="D13" s="5">
        <v>200</v>
      </c>
      <c r="E13" s="8"/>
      <c r="H13" s="5">
        <v>330</v>
      </c>
      <c r="J13">
        <v>1011</v>
      </c>
      <c r="N13" s="6">
        <v>289</v>
      </c>
      <c r="P13" s="6">
        <v>399</v>
      </c>
      <c r="Q13">
        <v>5</v>
      </c>
    </row>
    <row r="14" spans="2:17">
      <c r="B14" s="6">
        <v>131</v>
      </c>
      <c r="C14" s="5">
        <v>140</v>
      </c>
      <c r="D14" s="5">
        <v>225</v>
      </c>
      <c r="E14" s="8"/>
      <c r="H14" s="5">
        <v>340</v>
      </c>
      <c r="J14">
        <v>1003</v>
      </c>
      <c r="N14" s="6">
        <v>269</v>
      </c>
      <c r="P14" s="6">
        <v>355</v>
      </c>
      <c r="Q14">
        <v>6</v>
      </c>
    </row>
    <row r="15" spans="2:17">
      <c r="B15" s="9">
        <f>AVERAGE(B2:B14)</f>
        <v>132.307692307692</v>
      </c>
      <c r="C15" s="5">
        <v>155</v>
      </c>
      <c r="D15" s="10">
        <v>229</v>
      </c>
      <c r="E15" s="8"/>
      <c r="H15" s="5">
        <v>345</v>
      </c>
      <c r="J15">
        <v>1009</v>
      </c>
      <c r="N15" s="11">
        <f>AVERAGE(N1:N14)</f>
        <v>274.142857142857</v>
      </c>
      <c r="P15" s="6">
        <v>326</v>
      </c>
      <c r="Q15">
        <v>7</v>
      </c>
    </row>
    <row r="16" spans="2:17">
      <c r="B16" s="5"/>
      <c r="C16" s="5">
        <v>158</v>
      </c>
      <c r="D16" s="10">
        <v>236</v>
      </c>
      <c r="E16" s="8"/>
      <c r="H16" s="5">
        <v>350</v>
      </c>
      <c r="J16">
        <v>1014</v>
      </c>
      <c r="P16" s="6">
        <v>371</v>
      </c>
      <c r="Q16">
        <v>8</v>
      </c>
    </row>
    <row r="17" spans="2:17">
      <c r="B17" s="5"/>
      <c r="C17" s="5">
        <v>166</v>
      </c>
      <c r="D17" s="10">
        <v>244</v>
      </c>
      <c r="E17" s="8"/>
      <c r="H17" s="5">
        <v>340</v>
      </c>
      <c r="J17">
        <v>1012</v>
      </c>
      <c r="P17" s="6">
        <v>361</v>
      </c>
      <c r="Q17">
        <v>9</v>
      </c>
    </row>
    <row r="18" spans="2:17">
      <c r="B18" s="5"/>
      <c r="C18" s="5">
        <v>168</v>
      </c>
      <c r="D18" s="10">
        <v>251</v>
      </c>
      <c r="E18" s="8"/>
      <c r="H18" s="5">
        <v>340</v>
      </c>
      <c r="J18">
        <v>1006</v>
      </c>
      <c r="P18" s="6">
        <v>333</v>
      </c>
      <c r="Q18">
        <v>10</v>
      </c>
    </row>
    <row r="19" spans="2:17">
      <c r="B19" s="5"/>
      <c r="C19" s="5">
        <v>143</v>
      </c>
      <c r="D19" s="10">
        <v>252</v>
      </c>
      <c r="E19" s="8"/>
      <c r="H19" s="5">
        <v>355</v>
      </c>
      <c r="J19">
        <v>1011</v>
      </c>
      <c r="P19" s="6">
        <v>365</v>
      </c>
      <c r="Q19">
        <v>11</v>
      </c>
    </row>
    <row r="20" spans="2:17">
      <c r="B20" s="5"/>
      <c r="C20" s="5">
        <v>149</v>
      </c>
      <c r="D20" s="5">
        <v>211</v>
      </c>
      <c r="E20" s="8"/>
      <c r="H20" s="5">
        <v>260</v>
      </c>
      <c r="J20">
        <v>1011</v>
      </c>
      <c r="P20" s="1">
        <v>365</v>
      </c>
      <c r="Q20">
        <v>12</v>
      </c>
    </row>
    <row r="21" spans="3:17">
      <c r="C21" s="5">
        <v>158</v>
      </c>
      <c r="D21" s="5">
        <v>230</v>
      </c>
      <c r="E21" s="8"/>
      <c r="H21" s="5">
        <v>290</v>
      </c>
      <c r="J21">
        <v>1011</v>
      </c>
      <c r="P21" s="1">
        <v>362</v>
      </c>
      <c r="Q21">
        <v>13</v>
      </c>
    </row>
    <row r="22" spans="3:17">
      <c r="C22" s="5">
        <v>162</v>
      </c>
      <c r="D22" s="5">
        <v>250</v>
      </c>
      <c r="E22" s="8"/>
      <c r="H22" s="5">
        <v>350</v>
      </c>
      <c r="J22">
        <v>1011</v>
      </c>
      <c r="P22" s="1">
        <v>360</v>
      </c>
      <c r="Q22">
        <v>14</v>
      </c>
    </row>
    <row r="23" spans="3:17">
      <c r="C23" s="5">
        <v>178</v>
      </c>
      <c r="D23" s="5">
        <v>240</v>
      </c>
      <c r="E23" s="8"/>
      <c r="H23" s="5">
        <v>350</v>
      </c>
      <c r="J23">
        <v>1011</v>
      </c>
      <c r="P23" s="1">
        <v>355</v>
      </c>
      <c r="Q23">
        <v>15</v>
      </c>
    </row>
    <row r="24" spans="3:17">
      <c r="C24" s="5">
        <v>144</v>
      </c>
      <c r="D24" s="5">
        <v>249</v>
      </c>
      <c r="E24" s="8"/>
      <c r="H24" s="6">
        <v>290</v>
      </c>
      <c r="J24">
        <v>1020</v>
      </c>
      <c r="P24" s="1">
        <v>358</v>
      </c>
      <c r="Q24">
        <v>16</v>
      </c>
    </row>
    <row r="25" spans="3:17">
      <c r="C25" s="5">
        <v>149</v>
      </c>
      <c r="D25" s="5">
        <v>252</v>
      </c>
      <c r="E25" s="8"/>
      <c r="H25" s="6">
        <v>270</v>
      </c>
      <c r="J25">
        <v>1023</v>
      </c>
      <c r="P25" s="6">
        <v>380</v>
      </c>
      <c r="Q25">
        <v>17</v>
      </c>
    </row>
    <row r="26" spans="3:17">
      <c r="C26" s="5">
        <v>156</v>
      </c>
      <c r="E26" s="8"/>
      <c r="H26" s="6">
        <v>290</v>
      </c>
      <c r="J26">
        <v>1024</v>
      </c>
      <c r="P26" s="6">
        <v>410</v>
      </c>
      <c r="Q26">
        <v>18</v>
      </c>
    </row>
    <row r="27" spans="3:17">
      <c r="C27" s="5">
        <v>156</v>
      </c>
      <c r="E27" s="8"/>
      <c r="H27" s="6">
        <v>300</v>
      </c>
      <c r="J27">
        <v>1025</v>
      </c>
      <c r="P27" s="6">
        <v>411</v>
      </c>
      <c r="Q27">
        <v>19</v>
      </c>
    </row>
    <row r="28" spans="3:17">
      <c r="C28" s="5">
        <v>139</v>
      </c>
      <c r="E28" s="8"/>
      <c r="H28" s="6">
        <v>320</v>
      </c>
      <c r="J28">
        <v>1026</v>
      </c>
      <c r="P28" s="6">
        <v>444</v>
      </c>
      <c r="Q28">
        <v>20</v>
      </c>
    </row>
    <row r="29" spans="3:17">
      <c r="C29" s="5">
        <v>148</v>
      </c>
      <c r="E29" s="8"/>
      <c r="H29" s="6">
        <v>320</v>
      </c>
      <c r="J29">
        <v>1027</v>
      </c>
      <c r="P29" s="6">
        <v>438</v>
      </c>
      <c r="Q29">
        <v>21</v>
      </c>
    </row>
    <row r="30" spans="3:17">
      <c r="C30" s="5">
        <v>151</v>
      </c>
      <c r="E30" s="8"/>
      <c r="H30" s="6">
        <v>350</v>
      </c>
      <c r="J30">
        <v>1028</v>
      </c>
      <c r="P30" s="6">
        <v>439.36</v>
      </c>
      <c r="Q30">
        <v>22</v>
      </c>
    </row>
    <row r="31" spans="3:17">
      <c r="C31" s="5">
        <v>151</v>
      </c>
      <c r="P31" s="6">
        <v>455</v>
      </c>
      <c r="Q31">
        <v>23</v>
      </c>
    </row>
    <row r="32" spans="3:17">
      <c r="C32" s="5">
        <v>162</v>
      </c>
      <c r="P32" s="6">
        <v>460</v>
      </c>
      <c r="Q32">
        <v>24</v>
      </c>
    </row>
    <row r="33" spans="3:17">
      <c r="C33" s="5">
        <v>168</v>
      </c>
      <c r="P33" s="6">
        <v>439</v>
      </c>
      <c r="Q33">
        <v>25</v>
      </c>
    </row>
    <row r="34" spans="3:17">
      <c r="C34" s="5">
        <v>150</v>
      </c>
      <c r="P34" s="6">
        <v>436</v>
      </c>
      <c r="Q34">
        <v>26</v>
      </c>
    </row>
    <row r="35" spans="3:17">
      <c r="C35" s="1"/>
      <c r="P35" s="6">
        <v>420</v>
      </c>
      <c r="Q35">
        <v>27</v>
      </c>
    </row>
    <row r="36" spans="3:17">
      <c r="C36" s="1"/>
      <c r="P36" s="6">
        <v>390</v>
      </c>
      <c r="Q36">
        <v>28</v>
      </c>
    </row>
    <row r="37" spans="3:17">
      <c r="C37" s="1"/>
      <c r="P37" s="6">
        <v>444</v>
      </c>
      <c r="Q37">
        <v>29</v>
      </c>
    </row>
    <row r="38" spans="3:17">
      <c r="C38" s="1"/>
      <c r="P38" s="6">
        <v>461</v>
      </c>
      <c r="Q38">
        <v>30</v>
      </c>
    </row>
    <row r="39" spans="3:17">
      <c r="C39" s="1"/>
      <c r="P39" s="6">
        <v>457</v>
      </c>
      <c r="Q39">
        <v>31</v>
      </c>
    </row>
    <row r="40" spans="3:17">
      <c r="C40" s="1"/>
      <c r="P40" s="6">
        <v>445</v>
      </c>
      <c r="Q40">
        <v>32</v>
      </c>
    </row>
    <row r="41" spans="3:17">
      <c r="C41" s="1"/>
      <c r="K41" s="6">
        <v>102</v>
      </c>
      <c r="L41">
        <v>1</v>
      </c>
      <c r="P41" s="6">
        <v>439</v>
      </c>
      <c r="Q41">
        <v>33</v>
      </c>
    </row>
    <row r="42" spans="3:17">
      <c r="C42" s="1"/>
      <c r="K42" s="6">
        <v>291</v>
      </c>
      <c r="L42">
        <v>2</v>
      </c>
      <c r="P42" s="6">
        <v>355</v>
      </c>
      <c r="Q42">
        <v>34</v>
      </c>
    </row>
    <row r="43" spans="3:17">
      <c r="C43" s="1"/>
      <c r="K43" s="6">
        <v>289</v>
      </c>
      <c r="L43">
        <v>3</v>
      </c>
      <c r="P43" s="6">
        <v>420</v>
      </c>
      <c r="Q43">
        <v>35</v>
      </c>
    </row>
    <row r="44" spans="3:17">
      <c r="C44" s="1"/>
      <c r="K44" s="6">
        <v>291</v>
      </c>
      <c r="L44">
        <v>4</v>
      </c>
      <c r="P44" s="6">
        <v>394</v>
      </c>
      <c r="Q44">
        <v>36</v>
      </c>
    </row>
    <row r="45" spans="3:17">
      <c r="C45" s="1"/>
      <c r="K45" s="6">
        <v>298</v>
      </c>
      <c r="L45">
        <v>5</v>
      </c>
      <c r="P45" s="6">
        <v>399</v>
      </c>
      <c r="Q45">
        <v>37</v>
      </c>
    </row>
    <row r="46" spans="3:17">
      <c r="C46" s="1"/>
      <c r="K46" s="6">
        <v>299</v>
      </c>
      <c r="L46">
        <v>6</v>
      </c>
      <c r="P46" s="6">
        <v>410</v>
      </c>
      <c r="Q46">
        <v>38</v>
      </c>
    </row>
    <row r="47" spans="3:17">
      <c r="C47" s="1"/>
      <c r="K47" s="6">
        <v>297</v>
      </c>
      <c r="L47">
        <v>7</v>
      </c>
      <c r="P47" s="6">
        <v>420</v>
      </c>
      <c r="Q47">
        <v>39</v>
      </c>
    </row>
    <row r="48" spans="3:17">
      <c r="C48" s="1"/>
      <c r="K48" s="6">
        <v>310</v>
      </c>
      <c r="L48">
        <v>8</v>
      </c>
      <c r="P48" s="6">
        <v>450</v>
      </c>
      <c r="Q48">
        <v>40</v>
      </c>
    </row>
    <row r="49" spans="3:17">
      <c r="C49" s="1"/>
      <c r="K49" s="6">
        <v>309</v>
      </c>
      <c r="L49">
        <v>9</v>
      </c>
      <c r="P49" s="6">
        <v>450</v>
      </c>
      <c r="Q49">
        <v>41</v>
      </c>
    </row>
    <row r="50" spans="3:17">
      <c r="C50" s="1"/>
      <c r="H50">
        <v>0.00961538461538462</v>
      </c>
      <c r="K50" s="6">
        <v>307</v>
      </c>
      <c r="L50">
        <v>10</v>
      </c>
      <c r="P50" s="6">
        <v>460</v>
      </c>
      <c r="Q50">
        <v>42</v>
      </c>
    </row>
    <row r="51" spans="3:17">
      <c r="C51" s="1"/>
      <c r="H51">
        <v>0.00462962962962963</v>
      </c>
      <c r="K51" s="6">
        <v>314</v>
      </c>
      <c r="L51">
        <v>11</v>
      </c>
      <c r="P51" s="6">
        <v>461</v>
      </c>
      <c r="Q51">
        <v>43</v>
      </c>
    </row>
    <row r="52" spans="3:17">
      <c r="C52" s="1"/>
      <c r="K52" s="6">
        <v>310</v>
      </c>
      <c r="L52">
        <v>12</v>
      </c>
      <c r="P52" s="6">
        <v>462</v>
      </c>
      <c r="Q52">
        <v>44</v>
      </c>
    </row>
    <row r="53" spans="3:17">
      <c r="C53" s="1"/>
      <c r="K53" s="6">
        <v>309</v>
      </c>
      <c r="L53">
        <v>13</v>
      </c>
      <c r="P53" s="6">
        <v>466</v>
      </c>
      <c r="Q53">
        <v>45</v>
      </c>
    </row>
    <row r="54" spans="3:17">
      <c r="C54" s="1"/>
      <c r="K54" s="6">
        <v>312</v>
      </c>
      <c r="L54">
        <v>14</v>
      </c>
      <c r="P54" s="6">
        <v>462</v>
      </c>
      <c r="Q54">
        <v>46</v>
      </c>
    </row>
    <row r="55" spans="3:17">
      <c r="C55" s="1"/>
      <c r="K55" s="6">
        <v>317</v>
      </c>
      <c r="L55">
        <v>15</v>
      </c>
      <c r="P55" s="6">
        <v>444</v>
      </c>
      <c r="Q55">
        <v>47</v>
      </c>
    </row>
    <row r="56" spans="3:17">
      <c r="C56" s="1"/>
      <c r="K56" s="6">
        <v>321</v>
      </c>
      <c r="L56">
        <v>16</v>
      </c>
      <c r="P56" s="6">
        <v>452</v>
      </c>
      <c r="Q56">
        <v>48</v>
      </c>
    </row>
    <row r="57" spans="3:17">
      <c r="C57" s="1"/>
      <c r="K57" s="6">
        <v>309</v>
      </c>
      <c r="L57">
        <v>17</v>
      </c>
      <c r="P57" s="1">
        <v>453</v>
      </c>
      <c r="Q57">
        <v>49</v>
      </c>
    </row>
    <row r="58" spans="3:17">
      <c r="C58" s="1"/>
      <c r="K58" s="6">
        <v>307</v>
      </c>
      <c r="L58">
        <v>18</v>
      </c>
      <c r="P58" s="1">
        <v>454</v>
      </c>
      <c r="Q58">
        <v>50</v>
      </c>
    </row>
    <row r="59" spans="3:17">
      <c r="C59" s="1"/>
      <c r="K59" s="6">
        <v>300</v>
      </c>
      <c r="L59">
        <v>19</v>
      </c>
      <c r="P59" s="1">
        <v>454</v>
      </c>
      <c r="Q59">
        <v>51</v>
      </c>
    </row>
    <row r="60" spans="3:17">
      <c r="C60" s="1"/>
      <c r="K60" s="6">
        <v>310</v>
      </c>
      <c r="L60">
        <v>20</v>
      </c>
      <c r="P60" s="1">
        <v>439</v>
      </c>
      <c r="Q60">
        <v>52</v>
      </c>
    </row>
    <row r="61" spans="3:17">
      <c r="C61" s="1"/>
      <c r="K61" s="6">
        <v>300</v>
      </c>
      <c r="L61">
        <v>21</v>
      </c>
      <c r="P61" s="1">
        <v>469</v>
      </c>
      <c r="Q61">
        <v>53</v>
      </c>
    </row>
    <row r="62" spans="3:17">
      <c r="C62" s="1"/>
      <c r="K62" s="6">
        <v>317</v>
      </c>
      <c r="L62">
        <v>22</v>
      </c>
      <c r="P62" s="6">
        <v>339</v>
      </c>
      <c r="Q62">
        <v>54</v>
      </c>
    </row>
    <row r="63" spans="3:17">
      <c r="C63" s="1"/>
      <c r="K63" s="6">
        <v>315</v>
      </c>
      <c r="L63">
        <v>23</v>
      </c>
      <c r="P63" s="6">
        <v>369</v>
      </c>
      <c r="Q63">
        <v>55</v>
      </c>
    </row>
    <row r="64" spans="11:17">
      <c r="K64" s="6">
        <v>313</v>
      </c>
      <c r="L64">
        <v>24</v>
      </c>
      <c r="P64" s="6">
        <v>382</v>
      </c>
      <c r="Q64">
        <v>56</v>
      </c>
    </row>
    <row r="65" spans="1:17">
      <c r="A65" s="12">
        <f>AVERAGE(A2:A64)</f>
        <v>83.6666666666667</v>
      </c>
      <c r="B65" s="12">
        <f t="shared" ref="B65:J65" si="0">AVERAGE(B2:B64)</f>
        <v>132.307692307692</v>
      </c>
      <c r="C65" s="12">
        <f t="shared" si="0"/>
        <v>157.333333333333</v>
      </c>
      <c r="D65" s="12">
        <f t="shared" si="0"/>
        <v>234.458333333333</v>
      </c>
      <c r="E65" s="12">
        <f t="shared" si="0"/>
        <v>80</v>
      </c>
      <c r="F65" s="12">
        <f t="shared" si="0"/>
        <v>167.5</v>
      </c>
      <c r="G65" s="12">
        <f t="shared" si="0"/>
        <v>290</v>
      </c>
      <c r="H65" s="12">
        <f t="shared" si="0"/>
        <v>309.000459516589</v>
      </c>
      <c r="I65" s="12">
        <f t="shared" si="0"/>
        <v>500</v>
      </c>
      <c r="J65" s="12">
        <f t="shared" si="0"/>
        <v>1012.89655172414</v>
      </c>
      <c r="K65" s="6">
        <v>318</v>
      </c>
      <c r="L65">
        <v>25</v>
      </c>
      <c r="P65" s="6">
        <v>388</v>
      </c>
      <c r="Q65">
        <v>57</v>
      </c>
    </row>
    <row r="66" spans="11:17">
      <c r="K66" s="1">
        <v>316</v>
      </c>
      <c r="L66">
        <v>26</v>
      </c>
      <c r="P66" s="6">
        <v>400</v>
      </c>
      <c r="Q66">
        <v>58</v>
      </c>
    </row>
    <row r="67" spans="11:17">
      <c r="K67" s="1">
        <v>307</v>
      </c>
      <c r="L67">
        <v>27</v>
      </c>
      <c r="P67" s="6">
        <v>400</v>
      </c>
      <c r="Q67">
        <v>59</v>
      </c>
    </row>
    <row r="68" spans="11:17">
      <c r="K68" s="1">
        <v>314</v>
      </c>
      <c r="L68">
        <v>28</v>
      </c>
      <c r="P68" s="6">
        <v>409</v>
      </c>
      <c r="Q68">
        <v>60</v>
      </c>
    </row>
    <row r="69" spans="11:17">
      <c r="K69" s="1">
        <v>323</v>
      </c>
      <c r="L69">
        <v>29</v>
      </c>
      <c r="P69" s="6">
        <v>411</v>
      </c>
      <c r="Q69">
        <v>61</v>
      </c>
    </row>
    <row r="70" spans="11:17">
      <c r="K70" s="1">
        <v>317</v>
      </c>
      <c r="L70">
        <v>30</v>
      </c>
      <c r="P70" s="6">
        <v>425</v>
      </c>
      <c r="Q70">
        <v>62</v>
      </c>
    </row>
    <row r="71" spans="8:17">
      <c r="H71" s="6">
        <v>610</v>
      </c>
      <c r="K71">
        <f>SUM(K41:K70)</f>
        <v>9042</v>
      </c>
      <c r="L71">
        <f>K71/30</f>
        <v>301.4</v>
      </c>
      <c r="P71" s="6">
        <v>380</v>
      </c>
      <c r="Q71">
        <v>63</v>
      </c>
    </row>
    <row r="72" spans="8:17">
      <c r="H72" s="6">
        <v>575</v>
      </c>
      <c r="P72" s="6">
        <v>390</v>
      </c>
      <c r="Q72">
        <v>64</v>
      </c>
    </row>
    <row r="73" spans="8:17">
      <c r="H73" s="6">
        <v>533</v>
      </c>
      <c r="P73" s="6">
        <v>399</v>
      </c>
      <c r="Q73">
        <v>65</v>
      </c>
    </row>
    <row r="74" spans="8:17">
      <c r="H74">
        <f>SUM(H71:H73)</f>
        <v>1718</v>
      </c>
      <c r="I74">
        <f>H74/3</f>
        <v>572.666666666667</v>
      </c>
      <c r="P74" s="6">
        <v>397</v>
      </c>
      <c r="Q74">
        <v>66</v>
      </c>
    </row>
    <row r="75" spans="16:17">
      <c r="P75" s="1">
        <v>396</v>
      </c>
      <c r="Q75">
        <v>67</v>
      </c>
    </row>
    <row r="76" spans="16:17">
      <c r="P76" s="1">
        <v>390</v>
      </c>
      <c r="Q76">
        <v>68</v>
      </c>
    </row>
    <row r="77" spans="16:17">
      <c r="P77" s="1">
        <v>410</v>
      </c>
      <c r="Q77">
        <v>69</v>
      </c>
    </row>
    <row r="78" spans="4:17">
      <c r="D78">
        <v>123</v>
      </c>
      <c r="P78" s="1">
        <v>421</v>
      </c>
      <c r="Q78">
        <v>70</v>
      </c>
    </row>
    <row r="79" spans="16:17">
      <c r="P79" s="1">
        <v>433</v>
      </c>
      <c r="Q79">
        <v>71</v>
      </c>
    </row>
    <row r="80" spans="16:17">
      <c r="P80" s="6">
        <v>399</v>
      </c>
      <c r="Q80">
        <v>72</v>
      </c>
    </row>
    <row r="81" spans="16:17">
      <c r="P81" s="6">
        <v>410</v>
      </c>
      <c r="Q81">
        <v>73</v>
      </c>
    </row>
    <row r="82" spans="16:17">
      <c r="P82" s="6">
        <v>411</v>
      </c>
      <c r="Q82">
        <v>74</v>
      </c>
    </row>
    <row r="83" spans="16:17">
      <c r="P83" s="6">
        <v>416</v>
      </c>
      <c r="Q83">
        <v>75</v>
      </c>
    </row>
    <row r="84" spans="16:17">
      <c r="P84" s="6">
        <v>412</v>
      </c>
      <c r="Q84">
        <v>76</v>
      </c>
    </row>
    <row r="85" ht="14.25" spans="16:17">
      <c r="P85" s="6">
        <v>436</v>
      </c>
      <c r="Q85">
        <v>77</v>
      </c>
    </row>
    <row r="86" ht="14.25" spans="7:17">
      <c r="G86" s="13">
        <v>270.1</v>
      </c>
      <c r="H86" s="14">
        <v>225.5</v>
      </c>
      <c r="I86" s="14">
        <v>421</v>
      </c>
      <c r="J86" s="14">
        <v>395.5</v>
      </c>
      <c r="K86" s="14">
        <v>355</v>
      </c>
      <c r="L86" s="14">
        <v>330.7</v>
      </c>
      <c r="M86" s="14">
        <v>260.9</v>
      </c>
      <c r="P86" s="6">
        <v>429</v>
      </c>
      <c r="Q86">
        <v>78</v>
      </c>
    </row>
    <row r="87" spans="6:17">
      <c r="F87" s="6">
        <v>576</v>
      </c>
      <c r="G87">
        <f>AVERAGE(G86:M86)</f>
        <v>322.671428571429</v>
      </c>
      <c r="P87" s="6">
        <v>433</v>
      </c>
      <c r="Q87">
        <v>79</v>
      </c>
    </row>
    <row r="88" spans="6:17">
      <c r="F88" s="6">
        <v>571</v>
      </c>
      <c r="P88" s="6">
        <v>444</v>
      </c>
      <c r="Q88">
        <v>80</v>
      </c>
    </row>
    <row r="89" spans="6:17">
      <c r="F89" s="6"/>
      <c r="P89" s="6">
        <v>500</v>
      </c>
      <c r="Q89">
        <v>81</v>
      </c>
    </row>
    <row r="90" spans="6:16">
      <c r="F90" s="6"/>
      <c r="P90" s="15">
        <f>SUM(P9:P89)</f>
        <v>33352.36</v>
      </c>
    </row>
    <row r="91" spans="6:6">
      <c r="F91" s="6"/>
    </row>
    <row r="92" spans="6:6">
      <c r="F92" s="6"/>
    </row>
    <row r="93" spans="6:6">
      <c r="F93" s="6"/>
    </row>
    <row r="94" spans="6:6">
      <c r="F94" s="6"/>
    </row>
    <row r="95" spans="4:6">
      <c r="D95">
        <v>1</v>
      </c>
      <c r="E95" s="6">
        <v>876</v>
      </c>
      <c r="F95" s="6"/>
    </row>
    <row r="96" spans="4:9">
      <c r="D96">
        <v>2</v>
      </c>
      <c r="E96" s="6">
        <v>886</v>
      </c>
      <c r="F96" s="6"/>
      <c r="I96" s="6">
        <v>734</v>
      </c>
    </row>
    <row r="97" spans="4:14">
      <c r="D97">
        <v>3</v>
      </c>
      <c r="E97" s="6">
        <v>842</v>
      </c>
      <c r="F97" s="6"/>
      <c r="I97" s="6">
        <v>756</v>
      </c>
      <c r="L97" s="6">
        <v>900</v>
      </c>
      <c r="N97" s="6">
        <v>500</v>
      </c>
    </row>
    <row r="98" spans="4:19">
      <c r="D98">
        <v>4</v>
      </c>
      <c r="E98" s="6">
        <v>859</v>
      </c>
      <c r="F98" s="6"/>
      <c r="I98" s="6"/>
      <c r="L98" s="1">
        <v>994</v>
      </c>
      <c r="N98" s="6">
        <v>598</v>
      </c>
      <c r="Q98" s="6">
        <v>178</v>
      </c>
      <c r="S98" s="6">
        <v>323</v>
      </c>
    </row>
    <row r="99" spans="4:19">
      <c r="D99">
        <v>5</v>
      </c>
      <c r="E99" s="1">
        <v>874</v>
      </c>
      <c r="F99" s="6"/>
      <c r="I99" s="6"/>
      <c r="L99" s="1">
        <v>1008</v>
      </c>
      <c r="N99" s="6">
        <v>655</v>
      </c>
      <c r="Q99" s="6">
        <v>160</v>
      </c>
      <c r="S99" s="6">
        <v>324</v>
      </c>
    </row>
    <row r="100" spans="4:19">
      <c r="D100">
        <v>6</v>
      </c>
      <c r="E100" s="1">
        <v>888</v>
      </c>
      <c r="F100" s="6"/>
      <c r="I100" s="6"/>
      <c r="L100" s="1">
        <v>1000</v>
      </c>
      <c r="N100" s="6">
        <v>670</v>
      </c>
      <c r="Q100" s="6">
        <v>165</v>
      </c>
      <c r="S100" s="6">
        <v>374</v>
      </c>
    </row>
    <row r="101" spans="4:19">
      <c r="D101">
        <v>7</v>
      </c>
      <c r="E101" s="1">
        <v>841</v>
      </c>
      <c r="F101" s="6"/>
      <c r="I101" s="1"/>
      <c r="L101" s="1">
        <v>970</v>
      </c>
      <c r="N101" s="6">
        <v>680</v>
      </c>
      <c r="Q101" s="6">
        <v>163</v>
      </c>
      <c r="S101" s="6">
        <v>363</v>
      </c>
    </row>
    <row r="102" spans="4:19">
      <c r="D102">
        <v>8</v>
      </c>
      <c r="E102" s="1">
        <v>848</v>
      </c>
      <c r="F102" s="6"/>
      <c r="I102" s="1"/>
      <c r="L102" s="16">
        <v>899</v>
      </c>
      <c r="N102" s="6">
        <v>710</v>
      </c>
      <c r="Q102" s="6">
        <v>154</v>
      </c>
      <c r="S102" s="6">
        <v>341</v>
      </c>
    </row>
    <row r="103" spans="4:19">
      <c r="D103">
        <v>9</v>
      </c>
      <c r="E103" s="6">
        <v>856</v>
      </c>
      <c r="F103" s="6"/>
      <c r="I103" s="1"/>
      <c r="L103" s="15">
        <f>SUM(L97:L102)</f>
        <v>5771</v>
      </c>
      <c r="N103" s="6">
        <v>732</v>
      </c>
      <c r="Q103" s="1">
        <v>155</v>
      </c>
      <c r="S103" s="1">
        <v>364</v>
      </c>
    </row>
    <row r="104" spans="4:19">
      <c r="D104">
        <v>10</v>
      </c>
      <c r="E104" s="6">
        <v>841</v>
      </c>
      <c r="F104" s="6"/>
      <c r="I104" s="1"/>
      <c r="N104" s="6">
        <v>733</v>
      </c>
      <c r="Q104" s="1">
        <v>165</v>
      </c>
      <c r="S104" s="1">
        <v>352</v>
      </c>
    </row>
    <row r="105" spans="4:19">
      <c r="D105">
        <v>11</v>
      </c>
      <c r="E105" s="6">
        <v>817</v>
      </c>
      <c r="F105" s="6"/>
      <c r="I105" s="15">
        <f>SUM(I96:I104)</f>
        <v>1490</v>
      </c>
      <c r="J105" s="11">
        <f>I105/2</f>
        <v>745</v>
      </c>
      <c r="N105" s="15">
        <f>SUM(N98:N104)</f>
        <v>4778</v>
      </c>
      <c r="Q105" s="1">
        <v>170</v>
      </c>
      <c r="S105" s="1">
        <v>364</v>
      </c>
    </row>
    <row r="106" spans="4:19">
      <c r="D106">
        <v>12</v>
      </c>
      <c r="E106" s="6">
        <v>813</v>
      </c>
      <c r="F106" s="6"/>
      <c r="Q106" s="6">
        <v>165</v>
      </c>
      <c r="S106" s="1">
        <v>343</v>
      </c>
    </row>
    <row r="107" spans="4:19">
      <c r="D107">
        <v>13</v>
      </c>
      <c r="E107" s="6">
        <v>825</v>
      </c>
      <c r="F107" s="6"/>
      <c r="Q107" s="6">
        <v>156</v>
      </c>
      <c r="S107" s="6">
        <v>345</v>
      </c>
    </row>
    <row r="108" spans="4:19">
      <c r="D108">
        <v>14</v>
      </c>
      <c r="E108" s="6">
        <v>816</v>
      </c>
      <c r="F108">
        <f>AVERAGE(F87:F107)</f>
        <v>573.5</v>
      </c>
      <c r="Q108" s="6">
        <v>153</v>
      </c>
      <c r="S108" s="6">
        <v>346</v>
      </c>
    </row>
    <row r="109" spans="4:19">
      <c r="D109">
        <v>15</v>
      </c>
      <c r="E109" s="6">
        <v>854</v>
      </c>
      <c r="N109" s="6">
        <v>123</v>
      </c>
      <c r="Q109">
        <f>AVERAGE(Q98:Q108)</f>
        <v>162.181818181818</v>
      </c>
      <c r="S109" s="6">
        <v>367</v>
      </c>
    </row>
    <row r="110" spans="4:19">
      <c r="D110">
        <v>16</v>
      </c>
      <c r="E110" s="6">
        <v>851</v>
      </c>
      <c r="N110" s="6">
        <v>131</v>
      </c>
      <c r="S110" s="6">
        <v>366</v>
      </c>
    </row>
    <row r="111" spans="4:19">
      <c r="D111">
        <v>17</v>
      </c>
      <c r="E111" s="6">
        <v>843</v>
      </c>
      <c r="N111" s="6">
        <v>130</v>
      </c>
      <c r="S111" s="6">
        <v>358</v>
      </c>
    </row>
    <row r="112" spans="4:19">
      <c r="D112">
        <v>18</v>
      </c>
      <c r="E112" s="6">
        <v>842</v>
      </c>
      <c r="N112" s="6">
        <v>125</v>
      </c>
      <c r="S112">
        <f>AVERAGE(S98:S111)</f>
        <v>352.142857142857</v>
      </c>
    </row>
    <row r="113" spans="4:14">
      <c r="D113">
        <v>19</v>
      </c>
      <c r="E113" s="6">
        <v>815</v>
      </c>
      <c r="N113" s="6">
        <v>129</v>
      </c>
    </row>
    <row r="114" spans="4:16">
      <c r="D114">
        <v>20</v>
      </c>
      <c r="E114" s="6">
        <v>834</v>
      </c>
      <c r="N114" s="6">
        <v>123</v>
      </c>
      <c r="P114" s="6">
        <v>373</v>
      </c>
    </row>
    <row r="115" spans="4:16">
      <c r="D115">
        <v>21</v>
      </c>
      <c r="E115" s="6">
        <v>834</v>
      </c>
      <c r="N115" s="6">
        <v>130</v>
      </c>
      <c r="P115" s="6">
        <v>367</v>
      </c>
    </row>
    <row r="116" spans="4:16">
      <c r="D116">
        <v>22</v>
      </c>
      <c r="E116" s="6">
        <v>824</v>
      </c>
      <c r="N116" s="6">
        <v>121</v>
      </c>
      <c r="P116" s="6">
        <v>365</v>
      </c>
    </row>
    <row r="117" spans="4:16">
      <c r="D117">
        <v>23</v>
      </c>
      <c r="E117" s="6">
        <v>814</v>
      </c>
      <c r="N117" s="6">
        <v>123</v>
      </c>
      <c r="P117" s="6">
        <v>374</v>
      </c>
    </row>
    <row r="118" spans="4:16">
      <c r="D118">
        <v>24</v>
      </c>
      <c r="E118" s="6">
        <v>869</v>
      </c>
      <c r="N118" s="6">
        <v>127</v>
      </c>
      <c r="P118" s="6">
        <v>381</v>
      </c>
    </row>
    <row r="119" spans="4:16">
      <c r="D119">
        <v>25</v>
      </c>
      <c r="E119" s="6">
        <v>841</v>
      </c>
      <c r="N119" s="6">
        <v>125</v>
      </c>
      <c r="P119" s="6">
        <v>383</v>
      </c>
    </row>
    <row r="120" spans="4:16">
      <c r="D120">
        <v>26</v>
      </c>
      <c r="E120" s="6">
        <v>852</v>
      </c>
      <c r="N120" s="6">
        <v>131</v>
      </c>
      <c r="P120">
        <f>AVERAGE(P114:P119)</f>
        <v>373.833333333333</v>
      </c>
    </row>
    <row r="121" spans="4:14">
      <c r="D121">
        <v>27</v>
      </c>
      <c r="E121" s="6">
        <v>843</v>
      </c>
      <c r="N121" s="1"/>
    </row>
    <row r="122" spans="4:14">
      <c r="D122">
        <v>28</v>
      </c>
      <c r="E122" s="6">
        <v>813</v>
      </c>
      <c r="J122" s="6">
        <v>897</v>
      </c>
      <c r="L122" s="1">
        <v>813</v>
      </c>
      <c r="N122" s="1"/>
    </row>
    <row r="123" spans="4:14">
      <c r="D123">
        <v>29</v>
      </c>
      <c r="E123" s="6">
        <v>858</v>
      </c>
      <c r="J123" s="6">
        <v>876</v>
      </c>
      <c r="L123" s="1">
        <v>823</v>
      </c>
      <c r="N123">
        <f>AVERAGE(N109:N122)</f>
        <v>126.5</v>
      </c>
    </row>
    <row r="124" spans="4:12">
      <c r="D124">
        <v>30</v>
      </c>
      <c r="E124" s="6">
        <v>856</v>
      </c>
      <c r="J124" s="6">
        <v>886</v>
      </c>
      <c r="L124" s="1">
        <v>812</v>
      </c>
    </row>
    <row r="125" spans="4:12">
      <c r="D125">
        <v>31</v>
      </c>
      <c r="E125" s="6">
        <v>855</v>
      </c>
      <c r="J125" s="6">
        <v>879</v>
      </c>
      <c r="L125" s="1">
        <v>831</v>
      </c>
    </row>
    <row r="126" spans="4:12">
      <c r="D126">
        <v>32</v>
      </c>
      <c r="E126" s="6">
        <v>845</v>
      </c>
      <c r="J126" s="6">
        <v>754</v>
      </c>
      <c r="L126" s="1">
        <v>813</v>
      </c>
    </row>
    <row r="127" spans="4:12">
      <c r="D127">
        <v>33</v>
      </c>
      <c r="E127" s="6">
        <v>863</v>
      </c>
      <c r="J127" s="6">
        <v>891</v>
      </c>
      <c r="L127" s="1">
        <v>810</v>
      </c>
    </row>
    <row r="128" spans="4:12">
      <c r="D128">
        <v>34</v>
      </c>
      <c r="E128" s="6">
        <v>854</v>
      </c>
      <c r="J128" s="6">
        <v>893</v>
      </c>
      <c r="L128" s="1">
        <v>821</v>
      </c>
    </row>
    <row r="129" spans="4:12">
      <c r="D129">
        <v>35</v>
      </c>
      <c r="E129" s="6">
        <v>851</v>
      </c>
      <c r="J129" s="6">
        <v>899</v>
      </c>
      <c r="L129" s="1">
        <v>810</v>
      </c>
    </row>
    <row r="130" spans="4:12">
      <c r="D130">
        <v>36</v>
      </c>
      <c r="E130" s="6"/>
      <c r="J130" s="6">
        <v>861</v>
      </c>
      <c r="L130" s="1">
        <v>792</v>
      </c>
    </row>
    <row r="131" spans="4:12">
      <c r="D131">
        <v>37</v>
      </c>
      <c r="E131" s="1"/>
      <c r="J131" s="1">
        <v>878</v>
      </c>
      <c r="L131" s="1">
        <v>801</v>
      </c>
    </row>
    <row r="132" spans="4:12">
      <c r="D132">
        <v>38</v>
      </c>
      <c r="E132" s="1"/>
      <c r="J132" s="1"/>
      <c r="L132">
        <v>753</v>
      </c>
    </row>
    <row r="133" spans="4:12">
      <c r="D133">
        <v>39</v>
      </c>
      <c r="E133" s="1"/>
      <c r="J133" s="1"/>
      <c r="L133">
        <f>AVERAGE(L122:L132)</f>
        <v>807.181818181818</v>
      </c>
    </row>
    <row r="134" spans="4:10">
      <c r="D134">
        <v>40</v>
      </c>
      <c r="E134" s="1"/>
      <c r="J134" s="1"/>
    </row>
    <row r="135" spans="4:10">
      <c r="D135">
        <v>41</v>
      </c>
      <c r="E135" s="1"/>
      <c r="J135">
        <f>AVERAGE(J122:J134)</f>
        <v>871.4</v>
      </c>
    </row>
    <row r="136" spans="4:5">
      <c r="D136">
        <v>42</v>
      </c>
      <c r="E136" s="1"/>
    </row>
    <row r="137" spans="4:5">
      <c r="D137">
        <v>43</v>
      </c>
      <c r="E137" s="1"/>
    </row>
    <row r="138" spans="4:5">
      <c r="D138">
        <v>44</v>
      </c>
      <c r="E138" s="1"/>
    </row>
    <row r="139" spans="4:5">
      <c r="D139">
        <v>45</v>
      </c>
      <c r="E139" s="1"/>
    </row>
    <row r="140" spans="4:5">
      <c r="D140">
        <v>46</v>
      </c>
      <c r="E140" s="1"/>
    </row>
    <row r="141" spans="4:5">
      <c r="D141">
        <v>47</v>
      </c>
      <c r="E141" s="1"/>
    </row>
    <row r="142" spans="4:6">
      <c r="D142">
        <v>48</v>
      </c>
      <c r="E142" s="1"/>
      <c r="F142" s="11">
        <f>E146/35</f>
        <v>845.514285714286</v>
      </c>
    </row>
    <row r="143" spans="4:5">
      <c r="D143">
        <v>49</v>
      </c>
      <c r="E143" s="1"/>
    </row>
    <row r="144" spans="4:5">
      <c r="D144">
        <v>50</v>
      </c>
      <c r="E144" s="1"/>
    </row>
    <row r="146" spans="5:5">
      <c r="E146">
        <f>SUM(E95:E145)</f>
        <v>29593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土层剪切波速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左撇子</cp:lastModifiedBy>
  <dcterms:created xsi:type="dcterms:W3CDTF">2006-09-16T00:00:00Z</dcterms:created>
  <cp:lastPrinted>2022-06-24T10:34:00Z</cp:lastPrinted>
  <dcterms:modified xsi:type="dcterms:W3CDTF">2025-10-17T03:13:23Z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E72A3CB6A9294B3F92D909FC128EC91D_13</vt:lpwstr>
  </property>
</Properties>
</file>